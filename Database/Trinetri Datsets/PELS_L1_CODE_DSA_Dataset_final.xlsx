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Pranav\Downloads\"/>
    </mc:Choice>
  </mc:AlternateContent>
  <xr:revisionPtr revIDLastSave="0" documentId="11_DA1F01D2E0A46DEC2DFD42F2507E17F7671DA66A" xr6:coauthVersionLast="47" xr6:coauthVersionMax="47" xr10:uidLastSave="{00000000-0000-0000-0000-000000000000}"/>
  <bookViews>
    <workbookView xWindow="-108" yWindow="-108" windowWidth="23256" windowHeight="12456" tabRatio="500" xr2:uid="{00000000-000D-0000-FFFF-FFFF00000000}"/>
  </bookViews>
  <sheets>
    <sheet name="DSA Dataset" sheetId="1" r:id="rId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M51" i="1" l="1"/>
  <c r="M50" i="1"/>
  <c r="M49" i="1"/>
  <c r="M48" i="1"/>
  <c r="M47" i="1"/>
  <c r="M46" i="1"/>
  <c r="M45" i="1"/>
  <c r="M44" i="1"/>
  <c r="M43" i="1"/>
  <c r="M42" i="1"/>
  <c r="M41" i="1"/>
  <c r="M40" i="1"/>
  <c r="M39" i="1"/>
  <c r="M38" i="1"/>
  <c r="M37" i="1"/>
  <c r="M36" i="1"/>
  <c r="M35" i="1"/>
  <c r="M34" i="1"/>
  <c r="M33" i="1"/>
  <c r="M32" i="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alcChain>
</file>

<file path=xl/sharedStrings.xml><?xml version="1.0" encoding="utf-8"?>
<sst xmlns="http://schemas.openxmlformats.org/spreadsheetml/2006/main" count="772" uniqueCount="350">
  <si>
    <t>prompt_id</t>
  </si>
  <si>
    <t>prompt_text</t>
  </si>
  <si>
    <t>skill_level</t>
  </si>
  <si>
    <t>domain</t>
  </si>
  <si>
    <t>source_type</t>
  </si>
  <si>
    <t>subtopic</t>
  </si>
  <si>
    <t>c1_score</t>
  </si>
  <si>
    <t>c2_score</t>
  </si>
  <si>
    <t>c3_score</t>
  </si>
  <si>
    <t>c4_score</t>
  </si>
  <si>
    <t>c5_score</t>
  </si>
  <si>
    <t>c6_score</t>
  </si>
  <si>
    <t>final_score</t>
  </si>
  <si>
    <t>justification</t>
  </si>
  <si>
    <t>strengths</t>
  </si>
  <si>
    <t>gaps</t>
  </si>
  <si>
    <t>chatgpt_scores</t>
  </si>
  <si>
    <t>gemini_scores</t>
  </si>
  <si>
    <t>claude_scores</t>
  </si>
  <si>
    <t>kappa_flag</t>
  </si>
  <si>
    <t>score_source</t>
  </si>
  <si>
    <t>status</t>
  </si>
  <si>
    <t>PELS-L1-CODE-DSA-001</t>
  </si>
  <si>
    <t>explain array</t>
  </si>
  <si>
    <t>weak</t>
  </si>
  <si>
    <t>CODE</t>
  </si>
  <si>
    <t>synthetic</t>
  </si>
  <si>
    <t>Arrays &amp; Strings</t>
  </si>
  <si>
    <t>Single-word command with no context, role, or output format. Scores low across all criteria as it treats AI like a search bar. No domain specifics beyond the term itself.</t>
  </si>
  <si>
    <t>Unambiguous topic. Good as a baseline weak example for the dataset.</t>
  </si>
  <si>
    <t>No context, format, role, or language specified. No iteration signal whatsoever.</t>
  </si>
  <si>
    <t>1,1,1,2,4,1</t>
  </si>
  <si>
    <t>1,1,1,4,4,1</t>
  </si>
  <si>
    <t>1,1,1,2,3,1</t>
  </si>
  <si>
    <t>NO</t>
  </si>
  <si>
    <t>auto_mean</t>
  </si>
  <si>
    <t>approved</t>
  </si>
  <si>
    <t>PELS-L1-CODE-DSA-002</t>
  </si>
  <si>
    <t>how does binary search work</t>
  </si>
  <si>
    <t>Searching &amp; Sorting</t>
  </si>
  <si>
    <t>Two-word question with minimal structure. Slightly better than purely single-word as it poses a how question, but lacks role, format, context, or iteration signals.</t>
  </si>
  <si>
    <t>Uses a how phrasing which is marginally more structured than a command.</t>
  </si>
  <si>
    <t>No role, format, language, or follow-up plan. Barely above keyword search.</t>
  </si>
  <si>
    <t>2,1,1,3,3,1</t>
  </si>
  <si>
    <t>PELS-L1-CODE-DSA-003</t>
  </si>
  <si>
    <t>what is recursion</t>
  </si>
  <si>
    <t>Recursion &amp; Backtracking</t>
  </si>
  <si>
    <t>Pure definition request. No technique, no context, no language specified. Could be asked by someone with zero prompt engineering awareness.</t>
  </si>
  <si>
    <t>Clean single-concept request that clearly represents the weak skill level.</t>
  </si>
  <si>
    <t>No format request, no language, no example asked for. Pure definition request.</t>
  </si>
  <si>
    <t>PELS-L1-CODE-DSA-004</t>
  </si>
  <si>
    <t>explain linked list</t>
  </si>
  <si>
    <t>Stacks, Queues &amp; Linked Lists</t>
  </si>
  <si>
    <t>Single-command format identical to prompt 001. No awareness of AI capabilities, no structure applied.</t>
  </si>
  <si>
    <t>Straightforward and clearly represents a weak-tier prompt with no ambiguity.</t>
  </si>
  <si>
    <t>No language, no use case, no format, no context of any kind.</t>
  </si>
  <si>
    <t>PELS-L1-CODE-DSA-005</t>
  </si>
  <si>
    <t>what is dynamic programming</t>
  </si>
  <si>
    <t>Dynamic Programming</t>
  </si>
  <si>
    <t>Asks for a concept definition only. No sub-questions, no format request, no domain application beyond the term.</t>
  </si>
  <si>
    <t>Clearly identifies one DSA concept without any padding.</t>
  </si>
  <si>
    <t>No sub-questions, no examples requested, no format, no language.</t>
  </si>
  <si>
    <t>PELS-L1-CODE-DSA-006</t>
  </si>
  <si>
    <t>how does a tree work in programming</t>
  </si>
  <si>
    <t>intern</t>
  </si>
  <si>
    <t>Trees &amp; Graphs</t>
  </si>
  <si>
    <t>Slightly more conversational than single-word prompts but still lacks any technique or structure. No language or use-case specified.</t>
  </si>
  <si>
    <t>Slightly conversational tone makes it more realistic than keyword-only prompts.</t>
  </si>
  <si>
    <t>No language specified, no format, no role, no iteration signal.</t>
  </si>
  <si>
    <t>1,1,1,3,4,1</t>
  </si>
  <si>
    <t>PELS-L1-CODE-DSA-007</t>
  </si>
  <si>
    <t>sorting algorithms explain</t>
  </si>
  <si>
    <t>Inverted grammar suggests rushed typing. No structure, no format request, no context.</t>
  </si>
  <si>
    <t>Authentic rushed-student phrasing. Good weak-tier example.</t>
  </si>
  <si>
    <t>No structure, no format, no context. Grammar suggests minimal effort.</t>
  </si>
  <si>
    <t>1,1,1,3,3,1</t>
  </si>
  <si>
    <t>PELS-L1-CODE-DSA-008</t>
  </si>
  <si>
    <t>what is stack and queue</t>
  </si>
  <si>
    <t>Asks two concepts at once with no structure. Better than single-word but no technique applied.</t>
  </si>
  <si>
    <t>Combines two related concepts in one ask — realistic beginner behavior.</t>
  </si>
  <si>
    <t>No format, no language, no context for why they need this.</t>
  </si>
  <si>
    <t>PELS-L1-CODE-DSA-009</t>
  </si>
  <si>
    <t>graph data structure kya hota hai</t>
  </si>
  <si>
    <t>Mixed Hindi-English shows natural student voice. No technique, format, or role applied but has implicit domain context.</t>
  </si>
  <si>
    <t>Authentic code-switched language. Good representation of Indian student prompts.</t>
  </si>
  <si>
    <t>No technique applied. Role, format, and iteration signals all absent.</t>
  </si>
  <si>
    <t>PELS-L1-CODE-DSA-010</t>
  </si>
  <si>
    <t>reverse a string in python how</t>
  </si>
  <si>
    <t>Specifies language (Python) and task (reverse), giving it slightly more domain application than pure definition prompts. Still no technique or structure.</t>
  </si>
  <si>
    <t>Specifies task and language, making it marginally more domain-adapted than pure definition prompts.</t>
  </si>
  <si>
    <t>No format specified, no role, no follow-up planned. Missing most prompting techniques.</t>
  </si>
  <si>
    <t>1,1,1,5,4,1</t>
  </si>
  <si>
    <t>2,2,1,4,3,1</t>
  </si>
  <si>
    <t>PELS-L1-CODE-DSA-011</t>
  </si>
  <si>
    <t>fibonacci series code do</t>
  </si>
  <si>
    <t>Command-style in Hinglish. No context, no explanation of what they already know, no format request.</t>
  </si>
  <si>
    <t>Authentic Hinglish phrasing represents real student behavior well.</t>
  </si>
  <si>
    <t>No explanation of what they already know or what output format they want.</t>
  </si>
  <si>
    <t>PELS-L1-CODE-DSA-012</t>
  </si>
  <si>
    <t>what is time complexity</t>
  </si>
  <si>
    <t>Abstract concept question. No domain application, no structure. Among weakest possible prompts.</t>
  </si>
  <si>
    <t>Unambiguous concept request. Clean weak example.</t>
  </si>
  <si>
    <t>No domain specificity — time complexity for what context? No structure.</t>
  </si>
  <si>
    <t>YES</t>
  </si>
  <si>
    <t>human_override</t>
  </si>
  <si>
    <t>PELS-L1-CODE-DSA-013</t>
  </si>
  <si>
    <t>difference between array and linked list</t>
  </si>
  <si>
    <t>Comparison question adds marginal structure but no technique, role, or format is used. Slightly better metacognition implied.</t>
  </si>
  <si>
    <t>Comparison framing adds slight structure above single-concept requests.</t>
  </si>
  <si>
    <t>No role, no format, no language, no indication of what they already understand.</t>
  </si>
  <si>
    <t>1,1,1,6,4,1</t>
  </si>
  <si>
    <t>2,2,1,4,3,2</t>
  </si>
  <si>
    <t>PELS-L1-CODE-DSA-014</t>
  </si>
  <si>
    <t>I have an array of integers and need to find the two numbers that add up to a target sum. Can you explain the brute force approach and then show me a better solution using Python?</t>
  </si>
  <si>
    <t>developing</t>
  </si>
  <si>
    <t>Asks for two approaches in sequence (brute force then hash map), showing iterative thinking. Lacks role framing and format constraint but has strong domain application.</t>
  </si>
  <si>
    <t>Clearly structured two-step ask with explicit optimization goal. Shows awareness of algorithmic complexity.</t>
  </si>
  <si>
    <t>No role framing, no output format requested (code vs explanation), no length constraint.</t>
  </si>
  <si>
    <t>4,5,4,6,5,4</t>
  </si>
  <si>
    <t>5,7,4,8,4,4</t>
  </si>
  <si>
    <t>5,5,4,7,4,5</t>
  </si>
  <si>
    <t>PELS-L1-CODE-DSA-015</t>
  </si>
  <si>
    <t>You are a DSA tutor. Explain how binary search works step by step with a simple example. I keep confusing myself with the mid calculation.</t>
  </si>
  <si>
    <t>Uses role framing (DSA tutor) and asks a specific why question about complexity. Strong domain application, good metacognition. Loses points for no format constraint.</t>
  </si>
  <si>
    <t>Role framing and specific complexity question show good prompting awareness.</t>
  </si>
  <si>
    <t>No output format constraint. Does not specify preferred language for code examples.</t>
  </si>
  <si>
    <t>5,6,4,6,5,4</t>
  </si>
  <si>
    <t>8,8,4,9,4,8</t>
  </si>
  <si>
    <t>6,7,4,7,4,6</t>
  </si>
  <si>
    <t>PELS-L1-CODE-DSA-016</t>
  </si>
  <si>
    <t>I am trying to implement merge sort in Python for my data structures assignment. Can you write the code and explain what is happening at each step? My exam is next week.</t>
  </si>
  <si>
    <t>Provides real context (code runs, specific bug on duplicates). Strong domain application and some C3 signal. Loses points for not specifying language or output format.</t>
  </si>
  <si>
    <t>Real debugging context with specific failure condition is excellent domain application.</t>
  </si>
  <si>
    <t>Does not share the actual code, limiting AI's ability to give specific feedback.</t>
  </si>
  <si>
    <t>5,6,5,7,5,6</t>
  </si>
  <si>
    <t>5,4,8,9,4,8</t>
  </si>
  <si>
    <t>5,5,5,7,4,6</t>
  </si>
  <si>
    <t>PELS-L1-CODE-DSA-017</t>
  </si>
  <si>
    <t>Explain recursion using the factorial example. I understand the base case concept but I am not able to visualize how the function calls go back up. Can you draw it out in text?</t>
  </si>
  <si>
    <t>Shows metacognition by stating what they understand (base case) and what confuses them (call stack). Asks for trace which implies iteration awareness.</t>
  </si>
  <si>
    <t>Explicit statement of partial understanding demonstrates strong metacognition for this level.</t>
  </si>
  <si>
    <t>Does not specify preferred programming language or whether they want pseudocode or real code.</t>
  </si>
  <si>
    <t>5,6,5,6,5,6</t>
  </si>
  <si>
    <t>4,4,5,8,4,8</t>
  </si>
  <si>
    <t>5,5,5,6,4,6</t>
  </si>
  <si>
    <t>PELS-L1-CODE-DSA-018</t>
  </si>
  <si>
    <t>I need to implement a stack using an array in C++. Please show me push, pop and peek operations with proper error handling for empty stack.</t>
  </si>
  <si>
    <t>Specifies language, lists specific operations, and asks about edge cases (stack overflow). Good domain application but C3 is low as no iteration planned.</t>
  </si>
  <si>
    <t>Specific language, operations, and edge case all in one prompt. Well-structured.</t>
  </si>
  <si>
    <t>No follow-up refinement planned. Does not specify what to do if explanation is unclear.</t>
  </si>
  <si>
    <t>5,6,4,7,5,4</t>
  </si>
  <si>
    <t>5,4,4,9,5,4</t>
  </si>
  <si>
    <t>PELS-L1-CODE-DSA-019</t>
  </si>
  <si>
    <t>How do I detect a cycle in a linked list? I heard there is something called Floyd's algorithm. Can you explain how it works with a simple example?</t>
  </si>
  <si>
    <t>Names the specific algorithm, asks for reasoning (why), showing metacognition. No role or format specified.</t>
  </si>
  <si>
    <t>Asking for the mathematical reasoning (why pointers meet) shows depth of curiosity.</t>
  </si>
  <si>
    <t>No format specified. Does not ask for code or pseudocode explicitly.</t>
  </si>
  <si>
    <t>4,4,4,9,4,8</t>
  </si>
  <si>
    <t>5,5,4,7,4,6</t>
  </si>
  <si>
    <t>PELS-L1-CODE-DSA-020</t>
  </si>
  <si>
    <t>I want to understand BFS and DFS for trees. What is the difference and when should I use each? Please give me Python code for both.</t>
  </si>
  <si>
    <t>Comparison structure with when to use each — good for developing level. Asks for examples. No role framing.</t>
  </si>
  <si>
    <t>When to use each framing is practically useful and shows applied thinking.</t>
  </si>
  <si>
    <t>No role framing. Does not specify language for code examples.</t>
  </si>
  <si>
    <t>4,4,4,8,4,4</t>
  </si>
  <si>
    <t>4,5,4,7,4,4</t>
  </si>
  <si>
    <t>PELS-L1-CODE-DSA-021</t>
  </si>
  <si>
    <t>Can you explain what a binary search tree is and how insertion works? I need to implement it in Java for my college assignment due tomorrow.</t>
  </si>
  <si>
    <t>Provides exam context showing awareness of purpose. Asks for simple + visual — some format signal. Losing points for generic framing.</t>
  </si>
  <si>
    <t>Exam context and request for visual shows awareness of learning needs.</t>
  </si>
  <si>
    <t>Simple framing limits depth. No complexity or code request.</t>
  </si>
  <si>
    <t>4,5,4,6,4,4</t>
  </si>
  <si>
    <t>PELS-L1-CODE-DSA-022</t>
  </si>
  <si>
    <t>bhai mujhe dynamic programming samajh nahi aata. Fibonacci using DP kaise karte hai? Simple language mein explain karo please, placement preparation kar raha hoon.</t>
  </si>
  <si>
    <t>Code-switched Hindi-English is authentic student voice. Asks for two concepts compared. Good metacognition for level.</t>
  </si>
  <si>
    <t>Authentic bilingual voice. Asking for both memoization and tabulation shows good concept awareness.</t>
  </si>
  <si>
    <t>No format specified. Does not ask for code examples in a specific language.</t>
  </si>
  <si>
    <t>4,4,4,6,5,6</t>
  </si>
  <si>
    <t>4,4,4,8,4,8</t>
  </si>
  <si>
    <t>4,4,4,6,4,6</t>
  </si>
  <si>
    <t>PELS-L1-CODE-DSA-023</t>
  </si>
  <si>
    <t>I am solving the 0/1 knapsack problem. I understand the recursive approach but it is too slow. How do I convert it to a DP solution? Show me the table filling approach.</t>
  </si>
  <si>
    <t>States what they know (recursive approach), identifies the problem (too slow), and asks for specific solution with example. Good C3 and domain application.</t>
  </si>
  <si>
    <t>Correctly identifies bottleneck and asks for both solution and explanation.</t>
  </si>
  <si>
    <t>Does not share a specific example input for the table. No format for the output specified.</t>
  </si>
  <si>
    <t>PELS-L1-CODE-DSA-024</t>
  </si>
  <si>
    <t>You are a programming tutor. I need to check if a string is a palindrome without using any built-in reverse function. Show me the two pointer approach in Python.</t>
  </si>
  <si>
    <t>Uses role framing (programming tutor), specifies constraint (no extra space), and names language. Strong for developing level.</t>
  </si>
  <si>
    <t>Role framing plus constraint plus language is a strong combination for developing level.</t>
  </si>
  <si>
    <t>No length constraint. Does not ask for edge case handling.</t>
  </si>
  <si>
    <t>8,7,4,9,4,4</t>
  </si>
  <si>
    <t>6,6,4,7,4,4</t>
  </si>
  <si>
    <t>PELS-L1-CODE-DSA-025</t>
  </si>
  <si>
    <t>My quicksort implementation is working but it is very slow on already sorted arrays. What is the issue and how do I fix it? I am using Python.</t>
  </si>
  <si>
    <t>Identifies the specific problem (pivot, sorted arrays), knows two solution names. Good domain knowledge and C3 signal.</t>
  </si>
  <si>
    <t>Correctly identifies the root cause (pivot) and knows solution names before asking.</t>
  </si>
  <si>
    <t>Does not share their current code. No format constraint on the response.</t>
  </si>
  <si>
    <t>6,6,5,7,5,6</t>
  </si>
  <si>
    <t>5,5,5,7,4,5</t>
  </si>
  <si>
    <t>PELS-L1-CODE-DSA-026</t>
  </si>
  <si>
    <t>How to implement a queue using two stacks? I have seen this question in TCS and Infosys interviews. Please explain the logic and give me the code.</t>
  </si>
  <si>
    <t>Provides interview context and asks for logic + code. Practical application but no role framing or format constraint.</t>
  </si>
  <si>
    <t>Interview context shows real-world application awareness.</t>
  </si>
  <si>
    <t>No format specified. Does not mention which language they prefer for the code.</t>
  </si>
  <si>
    <t>PELS-L1-CODE-DSA-027</t>
  </si>
  <si>
    <t>I need to find the height of a binary tree using recursion. Can you explain the approach and write the code? Also tell me the time complexity.</t>
  </si>
  <si>
    <t>Asks for step-by-step and complexity — two structured asks. No role framing but good domain specificity.</t>
  </si>
  <si>
    <t>Requesting complexity analysis alongside explanation shows maturity.</t>
  </si>
  <si>
    <t>Does not specify language. No format constraint for the explanation.</t>
  </si>
  <si>
    <t>5,5,4,7,4,4</t>
  </si>
  <si>
    <t>PELS-L1-CODE-DSA-028</t>
  </si>
  <si>
    <t>What is the difference between Dijkstra and BFS for finding shortest path? Which one should I use for a weighted graph? Give me a simple example.</t>
  </si>
  <si>
    <t>Comparison of two algorithms with a decision framework (when to use which). Good domain application, no role or format.</t>
  </si>
  <si>
    <t>Decision-based comparison (which for what) is practically useful.</t>
  </si>
  <si>
    <t>Does not ask for code. No format constraint or length limit.</t>
  </si>
  <si>
    <t>PELS-L1-CODE-DSA-029</t>
  </si>
  <si>
    <t>I am trying to solve the N-Queens problem using backtracking. I understand the concept but my code keeps giving wrong output. Can you show me a clean Python implementation?</t>
  </si>
  <si>
    <t>Identifies specific bug in their approach and asks for fix to a specific function. Good C3 and domain application.</t>
  </si>
  <si>
    <t>Identifies specific function that needs fixing rather than asking generically.</t>
  </si>
  <si>
    <t>Does not share their current code. isValid function fix is asked but no language specified.</t>
  </si>
  <si>
    <t>PELS-L1-CODE-DSA-030</t>
  </si>
  <si>
    <t>Explain how to find the longest common subsequence of two strings. I want the DP approach with the table. Need this for my algorithms exam preparation.</t>
  </si>
  <si>
    <t>Asks for DP table and trace-back — two structured sub-tasks. Strong domain application but no role framing.</t>
  </si>
  <si>
    <t>Requesting trace-back on top of table-filling shows thorough understanding goal.</t>
  </si>
  <si>
    <t>No example input provided. Does not specify language for implementation.</t>
  </si>
  <si>
    <t>4,4,4,9,4,4</t>
  </si>
  <si>
    <t>PELS-L1-CODE-DSA-031</t>
  </si>
  <si>
    <t>How do I reverse a linked list iteratively? I can do it recursively but iterative approach is confusing me. Explain with diagram using text and give Python code.</t>
  </si>
  <si>
    <t>Shows metacognition (can do recursively, confused iteratively) and names the specific approach to learn (three-pointer).</t>
  </si>
  <si>
    <t>Clear self-assessment of what works vs what is confusing is excellent metacognition.</t>
  </si>
  <si>
    <t>Does not share current recursive code. No language specified for iterative version.</t>
  </si>
  <si>
    <t>5,6,4,7,5,6</t>
  </si>
  <si>
    <t>PELS-L1-CODE-DSA-032</t>
  </si>
  <si>
    <t>I need to find all subsets of an array using backtracking for my DSA assignment. Can you explain the decision tree approach and provide clean Java code?</t>
  </si>
  <si>
    <t>Identifies the problem (duplicates in output) and knows the conceptual approach (inclusion-exclusion). Good C3.</t>
  </si>
  <si>
    <t>Correctly identifies the inclusion-exclusion logic and pinpoints the duplicate issue.</t>
  </si>
  <si>
    <t>Does not share current code. No language specified for the corrected solution.</t>
  </si>
  <si>
    <t>4,4,8,9,4,8</t>
  </si>
  <si>
    <t>PELS-L1-CODE-DSA-033</t>
  </si>
  <si>
    <t>What is a hash map and how is it different from a normal array? I want to understand when to use hashing to solve array problems faster.</t>
  </si>
  <si>
    <t>Asks for comparison and two specific collision methods — structured sub-questions. Good domain application.</t>
  </si>
  <si>
    <t>Asking for both types of collision handling shows awareness of the breadth of the topic.</t>
  </si>
  <si>
    <t>No language specified. Does not ask for time complexity comparison.</t>
  </si>
  <si>
    <t>PELS-L1-CODE-DSA-034</t>
  </si>
  <si>
    <t>I have to implement Prim's algorithm for minimum spanning tree in my lab practical tomorrow. Can you give me a simple explanation and Python code with comments?</t>
  </si>
  <si>
    <t>Provides real deadline context (lab practical tomorrow), asks for three outputs, and requests comparison. Strong for developing.</t>
  </si>
  <si>
    <t>Real deadline context and three-part ask make this a strong developing prompt.</t>
  </si>
  <si>
    <t>Does not share starter code. No ethics or edge case consideration.</t>
  </si>
  <si>
    <t>6,7,5,8,5,6</t>
  </si>
  <si>
    <t>5,6,5,8,4,5</t>
  </si>
  <si>
    <t>PELS-L1-CODE-DSA-035</t>
  </si>
  <si>
    <t>Explain the sliding window technique for array problems. I keep seeing it mentioned for substring problems but I don't understand how to apply it.</t>
  </si>
  <si>
    <t>Names the technique, explains confusion, and asks for two examples with distinction. Good structure for developing.</t>
  </si>
  <si>
    <t>Two-example request with a distinction criterion is well-structured.</t>
  </si>
  <si>
    <t>No language specified for examples. No complexity comparison requested.</t>
  </si>
  <si>
    <t>6,7,4,8,5,4</t>
  </si>
  <si>
    <t>5,6,4,7,4,4</t>
  </si>
  <si>
    <t>PELS-L1-CODE-DSA-036</t>
  </si>
  <si>
    <t>How to check if a binary tree is balanced? My recursive solution is working but I am not confident about the time complexity. Can you review the approach?</t>
  </si>
  <si>
    <t>Identifies current inefficiency (O(n²)) and asks for specific optimization target (O(n)). Strong C1 and C3.</t>
  </si>
  <si>
    <t>Identifying the specific inefficiency and target complexity shows strong technical awareness.</t>
  </si>
  <si>
    <t>Does not share current recursive code. No language specified.</t>
  </si>
  <si>
    <t>6,6,5,8,4,5</t>
  </si>
  <si>
    <t>PELS-L1-CODE-DSA-037</t>
  </si>
  <si>
    <t>I need to find the longest increasing subsequence in an array. First explain the O(n^2) DP approach clearly with an example, then tell me if there is a faster way.</t>
  </si>
  <si>
    <t>Knows the O(n²) solution, asks if better exists — good metacognition. Could be stronger with role or format.</t>
  </si>
  <si>
    <t>Knowing the existing solution and asking if something better exists shows good metacognition.</t>
  </si>
  <si>
    <t>No language specified. Does not ask for code — only explanation.</t>
  </si>
  <si>
    <t>6,7,5,8,5,4</t>
  </si>
  <si>
    <t>5,5,5,7,4,4</t>
  </si>
  <si>
    <t>PELS-L1-CODE-DSA-038</t>
  </si>
  <si>
    <t>How do I implement a min-heap in Python without using the heapq library? I want to understand the sift-up and sift-down operations from scratch.</t>
  </si>
  <si>
    <t>Specifies the constraint (without heapq), lists three operations to learn. Clear structured ask.</t>
  </si>
  <si>
    <t>Without library constraint forces from-scratch understanding — pedagogically strong ask.</t>
  </si>
  <si>
    <t>No language stated (though Python likely implied). No complexity comparison with heapq.</t>
  </si>
  <si>
    <t>5,6,5,8,4,4</t>
  </si>
  <si>
    <t>PELS-L1-CODE-DSA-039</t>
  </si>
  <si>
    <t>You are an expert DSA interviewer. I want to solve the 'Trapping Rain Water' problem optimally. Before giving me code: (1) explain why brute force is O(n^2), (2) walk me through the two-pointer approach and why it works, (3) then give me clean Python code with inline comments. Also tell me the space complexity trade-off between the prefix array method and two-pointer method.</t>
  </si>
  <si>
    <t>strong</t>
  </si>
  <si>
    <t>Uses expert role framing, requests three algorithmic approaches in order of complexity, with code and complexity for each. Multi-technique, highly structured.</t>
  </si>
  <si>
    <t>Three-tier progression from brute force to optimal is a textbook strong prompting pattern.</t>
  </si>
  <si>
    <t>No ethics consideration. Does not ask for edge cases or failure scenarios.</t>
  </si>
  <si>
    <t>7,8,6,8,5,6</t>
  </si>
  <si>
    <t>8,10,4,10,4,4</t>
  </si>
  <si>
    <t>7,8,6,9,5,6</t>
  </si>
  <si>
    <t>PELS-L1-CODE-DSA-040</t>
  </si>
  <si>
    <t>I am preparing for FAANG placement interviews. Help me master the 'merge k sorted linked lists' problem. I want: (1) explanation of why naive merge is inefficient, (2) the min-heap approach with full Python implementation, (3) time and space complexity analysis, (4) two follow-up variations I might be asked. Keep explanations concise — I understand advanced concepts.</t>
  </si>
  <si>
    <t>FAANG context with four explicit deliverables: intuition, code, complexity, and follow-up variations. Outstanding domain application and metacognition.</t>
  </si>
  <si>
    <t>Four-part deliverable request with FAANG context shows excellent prompt engineering awareness.</t>
  </si>
  <si>
    <t>No ethics consideration. Does not specify preferred coding style or comments level.</t>
  </si>
  <si>
    <t>8,9,8,10,4,4</t>
  </si>
  <si>
    <t>7,8,6,9,5,7</t>
  </si>
  <si>
    <t>PELS-L1-CODE-DSA-041</t>
  </si>
  <si>
    <t>Act as a competitive programming coach. I need to implement Segment Tree with lazy propagation for range sum queries and range update operations. Before coding: (1) explain when lazy propagation is needed vs simple segment tree, (2) describe the push-down mechanism. Then provide complete C++ implementation with time complexity for build, query and update. Assume I know basic segment trees.</t>
  </si>
  <si>
    <t>Competitive programming coach role, specific algorithm with specific feature (lazy propagation), and asks for extension. Multi-layered ask.</t>
  </si>
  <si>
    <t>Specific algorithm feature (lazy propagation) and generalization ask show depth.</t>
  </si>
  <si>
    <t>Does not ask for complexity analysis. No ethics consideration.</t>
  </si>
  <si>
    <t>8,8,4,10,4,4</t>
  </si>
  <si>
    <t>PELS-L1-CODE-DSA-042</t>
  </si>
  <si>
    <t>I want to deeply understand Dijkstra's algorithm. Walk me through: (1) why greedy works here but not for negative weights, (2) the role of the priority queue and why a simple queue fails, (3) full Python implementation using heapq with adjacency list, (4) time complexity with different data structures (array vs binary heap vs fibonacci heap). Give me a test case that breaks Bellman-Ford but not Dijkstra and vice versa.</t>
  </si>
  <si>
    <t>Five-part structured question covering intuition, failure case, implementation, complexity variants, and comparison algorithm. Exceptionally thorough.</t>
  </si>
  <si>
    <t>Five-part structured question covering multiple dimensions is exemplary prompting.</t>
  </si>
  <si>
    <t>No explicit ethics consideration. Does not ask for practical code examples for Bellman-Ford.</t>
  </si>
  <si>
    <t>4,7,4,10,4,4</t>
  </si>
  <si>
    <t>7,8,7,9,5,7</t>
  </si>
  <si>
    <t>PELS-L1-CODE-DSA-043</t>
  </si>
  <si>
    <t>You are a DSA expert. I am solving the 'Word Break' problem using DP. My current memoized recursion solution works but I want to understand: (1) why top-down and bottom-up give the same complexity but differ in practice, (2) how to convert my recursive solution to iterative DP systematically — not just for this problem but as a general technique. Show me both versions in Python with the conversion steps explained.</t>
  </si>
  <si>
    <t>States current solution complexity explicitly, asks for two optimization paths, and requests Trie comparison. Strong C3 and domain depth.</t>
  </si>
  <si>
    <t>Stating current complexity and asking for two optimization paths shows advanced metacognition.</t>
  </si>
  <si>
    <t>No ethics consideration. Does not ask for test cases to verify solutions.</t>
  </si>
  <si>
    <t>8,7,8,10,4,8</t>
  </si>
  <si>
    <t>PELS-L1-CODE-DSA-044</t>
  </si>
  <si>
    <t>I need to implement a Trie data structure for an autocomplete feature in my final year project. Requirements: (1) insert, search, startsWith operations, (2) delete operation that handles shared prefixes correctly, (3) count of words with a given prefix. Provide Python implementation with O(L) time for all operations where L is word length. Also explain memory trade-offs vs using a hashmap for the same task.</t>
  </si>
  <si>
    <t>Real project context, four operations listed, OOP design requested, and memory optimization added. Highly domain-adapted.</t>
  </si>
  <si>
    <t>OOP design request plus memory optimization shows real engineering thinking.</t>
  </si>
  <si>
    <t>No ethics consideration around large vocabulary memory implications explored further.</t>
  </si>
  <si>
    <t>5,7,4,10,4,4</t>
  </si>
  <si>
    <t>PELS-L1-CODE-DSA-045</t>
  </si>
  <si>
    <t>As part of my internship project I need to implement an LRU Cache. Before coding: (1) explain why a simple hashmap is not enough and what data structure to combine it with, (2) why doubly linked list over singly linked list, (3) provide complete Python implementation using OrderedDict and then a raw implementation without it, (4) compare both in terms of code complexity and performance. Target: O(1) get and put operations.</t>
  </si>
  <si>
    <t>Asks for data structure reasoning before code, two implementations, space complexity, and edge cases. Shows deep metacognition.</t>
  </si>
  <si>
    <t>Requesting reasoning before code and listing edge cases shows strong process awareness.</t>
  </si>
  <si>
    <t>No ethics consideration. Does not ask for time complexity comparison between the two implementations.</t>
  </si>
  <si>
    <t>5,8,4,10,5,4</t>
  </si>
  <si>
    <t>PELS-L1-CODE-DSA-046</t>
  </si>
  <si>
    <t>I want to master backtracking for placement preparation. Using the 'Sudoku Solver' problem: (1) explain the constraint propagation strategy before trying backtracking, (2) identify what makes a good 'pruning condition' and why it matters for performance, (3) implement in Python with clear variable names and comments, (4) estimate the worst-case time complexity and explain why exact analysis is hard for backtracking problems.</t>
  </si>
  <si>
    <t>Requests constraint propagation explanation, optimized code, worst-case complexity, and generalization. Strong across all criteria.</t>
  </si>
  <si>
    <t>Generalization ask (other constraint satisfaction problems) shows transfer learning thinking.</t>
  </si>
  <si>
    <t>No explicit ethics framing. Does not ask for comparison with forward checking.</t>
  </si>
  <si>
    <t>5,8,4,10,4,4</t>
  </si>
  <si>
    <t>PELS-L1-CODE-DSA-047</t>
  </si>
  <si>
    <t>I am building a spell checker for my college project using DSA concepts. I want to use BK-Tree for approximate string matching. Explain: (1) what edit distance metric it uses and why, (2) how the tree structure enables efficient fuzzy search, (3) full Python implementation with insert and search methods, (4) time complexity comparison with naive approach of checking every word. I understand trees and recursion well.</t>
  </si>
  <si>
    <t>Compares two DSA approaches (BK-Tree vs Trie) for a real project feature. Query time and space comparison adds depth.</t>
  </si>
  <si>
    <t>Side-by-side comparison of two data structures for a specific use case is excellent domain application.</t>
  </si>
  <si>
    <t>No ethics consideration. Does not ask for complexity in worst-case input scenarios.</t>
  </si>
  <si>
    <t>PELS-L1-CODE-DSA-048</t>
  </si>
  <si>
    <t>You are a competitive programming mentor. I want to solve 'Maximum Subarray' but go beyond Kadane's algorithm. Teach me: (1) the divide and conquer approach and its T(n) = 2T(n/2) + O(n) recurrence, (2) how Kadane's is actually a special case of DP and derive it from first principles, (3) how to extend both approaches to return the actual subarray indices not just the sum, (4) a variant where we must include at least K elements. Provide Python for all versions.</t>
  </si>
  <si>
    <t>Goes beyond standard solution — asks for three approaches including 2D extension. Strong C3 with explicit iteration planning.</t>
  </si>
  <si>
    <t>Beyond-Kadane framing with 2D extension shows exceptional prompting ambition.</t>
  </si>
  <si>
    <t>No ethics consideration. Does not ask for space complexity of divide-and-conquer approach.</t>
  </si>
  <si>
    <t>7,8,7,9,5,6</t>
  </si>
  <si>
    <t>PELS-L1-CODE-DSA-049</t>
  </si>
  <si>
    <t>I need to implement an in-place quicksort that handles duplicate elements efficiently (Dutch National Flag partition). Before coding: (1) explain why naive Lomuto partition degrades on duplicates, (2) describe the 3-way partition invariant precisely, (3) prove that the algorithm terminates. Then give clean Python implementation, worst-case and average-case analysis, and a test suite covering edge cases: all duplicates, already sorted, reverse sorted, single element.</t>
  </si>
  <si>
    <t>Names specific partition scheme, asks for complexity analysis with reasoning, and requests comparison. Highly specific and structured.</t>
  </si>
  <si>
    <t>Dutch National Flag named explicitly with complexity reasoning shows strong technical grounding.</t>
  </si>
  <si>
    <t>No ethics consideration. Does not ask for comparison with introsort or timsort.</t>
  </si>
  <si>
    <t>PELS-L1-CODE-DSA-050</t>
  </si>
  <si>
    <t>I am preparing for system design + DSA rounds at product companies. Help me design a rate limiter using DSA: (1) model it as a sliding window problem and explain the data structure choices (circular buffer vs deque vs sorted set), (2) implement a token bucket and sliding window log in Python, (3) analyze memory usage for 1 million users, (4) identify edge cases like clock skew and burst traffic, (5) suggest how you would test this for correctness under concurrent requests. I am comfortable with advanced data structures.</t>
  </si>
  <si>
    <t>Bridges DSA and system design, requests three algorithm trade-offs, implementation, and distributed systems extension. Exceptional scope.</t>
  </si>
  <si>
    <t>Bridging DSA and distributed systems shows system-level thinking unusual for this level.</t>
  </si>
  <si>
    <t>No ethics consideration around rate limiter abuse scenarios or fairness.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</si>
</sst>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charset val="1"/>
    </font>
    <font>
      <b/>
      <sz val="10"/>
      <color rgb="FFFFFFFF"/>
      <name val="Arial"/>
      <charset val="1"/>
    </font>
    <font>
      <sz val="9"/>
      <name val="Arial"/>
      <charset val="1"/>
    </font>
  </fonts>
  <fills count="7">
    <fill>
      <patternFill patternType="none"/>
    </fill>
    <fill>
      <patternFill patternType="gray125"/>
    </fill>
    <fill>
      <patternFill patternType="solid">
        <fgColor rgb="FF1F4E79"/>
        <bgColor rgb="FF003366"/>
      </patternFill>
    </fill>
    <fill>
      <patternFill patternType="solid">
        <fgColor rgb="FFFFF2CC"/>
        <bgColor rgb="FFFCE4D6"/>
      </patternFill>
    </fill>
    <fill>
      <patternFill patternType="solid">
        <fgColor rgb="FFFCE4D6"/>
        <bgColor rgb="FFFFF2CC"/>
      </patternFill>
    </fill>
    <fill>
      <patternFill patternType="solid">
        <fgColor rgb="FFD9EAD3"/>
        <bgColor rgb="FFCFE2F3"/>
      </patternFill>
    </fill>
    <fill>
      <patternFill patternType="solid">
        <fgColor rgb="FFCFE2F3"/>
        <bgColor rgb="FFD9EAD3"/>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top"/>
    </xf>
    <xf numFmtId="0" fontId="2" fillId="3" borderId="0" xfId="0" applyFont="1" applyFill="1" applyAlignment="1">
      <alignment vertical="top" wrapText="1"/>
    </xf>
    <xf numFmtId="0" fontId="2" fillId="3" borderId="0" xfId="0" applyFont="1" applyFill="1" applyAlignment="1">
      <alignment horizontal="center" vertical="top"/>
    </xf>
    <xf numFmtId="0" fontId="2" fillId="4" borderId="0" xfId="0" applyFont="1" applyFill="1" applyAlignment="1">
      <alignment vertical="top" wrapText="1"/>
    </xf>
    <xf numFmtId="0" fontId="2" fillId="4" borderId="0" xfId="0" applyFont="1" applyFill="1" applyAlignment="1">
      <alignment horizontal="center" vertical="top"/>
    </xf>
    <xf numFmtId="0" fontId="2" fillId="5" borderId="0" xfId="0" applyFont="1" applyFill="1" applyAlignment="1">
      <alignment vertical="top" wrapText="1"/>
    </xf>
    <xf numFmtId="0" fontId="2" fillId="5" borderId="0" xfId="0" applyFont="1" applyFill="1" applyAlignment="1">
      <alignment horizontal="center" vertical="top"/>
    </xf>
    <xf numFmtId="0" fontId="2" fillId="6" borderId="0" xfId="0" applyFont="1" applyFill="1" applyAlignment="1">
      <alignment vertical="top" wrapText="1"/>
    </xf>
    <xf numFmtId="0" fontId="2" fillId="6" borderId="0" xfId="0" applyFont="1" applyFill="1" applyAlignment="1">
      <alignment horizontal="center" vertical="top"/>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FE2F3"/>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51"/>
  <sheetViews>
    <sheetView tabSelected="1" zoomScale="78" zoomScaleNormal="78" workbookViewId="0">
      <selection activeCell="M4" sqref="M4"/>
    </sheetView>
  </sheetViews>
  <sheetFormatPr defaultColWidth="8.6640625" defaultRowHeight="14.4" x14ac:dyDescent="0.3"/>
  <cols>
    <col min="1" max="1" width="20" customWidth="1"/>
    <col min="2" max="2" width="55" customWidth="1"/>
    <col min="3" max="3" width="12" customWidth="1"/>
    <col min="4" max="4" width="8" customWidth="1"/>
    <col min="5" max="5" width="15" customWidth="1"/>
    <col min="6" max="6" width="22" customWidth="1"/>
    <col min="7" max="12" width="8" customWidth="1"/>
    <col min="13" max="13" width="12" customWidth="1"/>
    <col min="14" max="14" width="45" customWidth="1"/>
    <col min="15" max="15" width="30" customWidth="1"/>
    <col min="16" max="16" width="35" customWidth="1"/>
    <col min="17" max="19" width="18" customWidth="1"/>
    <col min="20" max="20" width="12" customWidth="1"/>
    <col min="21" max="21" width="16" customWidth="1"/>
    <col min="22" max="22" width="10" customWidth="1"/>
  </cols>
  <sheetData>
    <row r="1" spans="1:22" ht="30"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60" customHeight="1" x14ac:dyDescent="0.3">
      <c r="A2" s="2" t="s">
        <v>22</v>
      </c>
      <c r="B2" s="2" t="s">
        <v>23</v>
      </c>
      <c r="C2" s="3" t="s">
        <v>24</v>
      </c>
      <c r="D2" s="3" t="s">
        <v>25</v>
      </c>
      <c r="E2" s="3" t="s">
        <v>26</v>
      </c>
      <c r="F2" s="2" t="s">
        <v>27</v>
      </c>
      <c r="G2" s="3">
        <v>1</v>
      </c>
      <c r="H2" s="3">
        <v>1</v>
      </c>
      <c r="I2" s="3">
        <v>1</v>
      </c>
      <c r="J2" s="3">
        <v>3</v>
      </c>
      <c r="K2" s="3">
        <v>4</v>
      </c>
      <c r="L2" s="3">
        <v>1</v>
      </c>
      <c r="M2" s="3">
        <f t="shared" ref="M2:M33" si="0">((G2*0.15)+(H2*0.2)+(I2*0.2)+(J2*0.2)+(K2*0.15)+(L2*0.1))*10</f>
        <v>18.5</v>
      </c>
      <c r="N2" s="2" t="s">
        <v>28</v>
      </c>
      <c r="O2" s="2" t="s">
        <v>29</v>
      </c>
      <c r="P2" s="2" t="s">
        <v>30</v>
      </c>
      <c r="Q2" s="2" t="s">
        <v>31</v>
      </c>
      <c r="R2" s="2" t="s">
        <v>32</v>
      </c>
      <c r="S2" s="2" t="s">
        <v>33</v>
      </c>
      <c r="T2" s="3" t="s">
        <v>34</v>
      </c>
      <c r="U2" s="3" t="s">
        <v>35</v>
      </c>
      <c r="V2" s="3" t="s">
        <v>36</v>
      </c>
    </row>
    <row r="3" spans="1:22" ht="60" customHeight="1" x14ac:dyDescent="0.3">
      <c r="A3" s="2" t="s">
        <v>37</v>
      </c>
      <c r="B3" s="2" t="s">
        <v>38</v>
      </c>
      <c r="C3" s="3" t="s">
        <v>24</v>
      </c>
      <c r="D3" s="3" t="s">
        <v>25</v>
      </c>
      <c r="E3" s="3" t="s">
        <v>26</v>
      </c>
      <c r="F3" s="2" t="s">
        <v>39</v>
      </c>
      <c r="G3" s="3">
        <v>1</v>
      </c>
      <c r="H3" s="3">
        <v>1</v>
      </c>
      <c r="I3" s="3">
        <v>1</v>
      </c>
      <c r="J3" s="3">
        <v>3</v>
      </c>
      <c r="K3" s="3">
        <v>4</v>
      </c>
      <c r="L3" s="3">
        <v>1</v>
      </c>
      <c r="M3" s="3">
        <f t="shared" si="0"/>
        <v>18.5</v>
      </c>
      <c r="N3" s="2" t="s">
        <v>40</v>
      </c>
      <c r="O3" s="2" t="s">
        <v>41</v>
      </c>
      <c r="P3" s="2" t="s">
        <v>42</v>
      </c>
      <c r="Q3" s="2" t="s">
        <v>31</v>
      </c>
      <c r="R3" s="2" t="s">
        <v>32</v>
      </c>
      <c r="S3" s="2" t="s">
        <v>43</v>
      </c>
      <c r="T3" s="3" t="s">
        <v>34</v>
      </c>
      <c r="U3" s="3" t="s">
        <v>35</v>
      </c>
      <c r="V3" s="3" t="s">
        <v>36</v>
      </c>
    </row>
    <row r="4" spans="1:22" ht="60" customHeight="1" x14ac:dyDescent="0.3">
      <c r="A4" s="2" t="s">
        <v>44</v>
      </c>
      <c r="B4" s="2" t="s">
        <v>45</v>
      </c>
      <c r="C4" s="3" t="s">
        <v>24</v>
      </c>
      <c r="D4" s="3" t="s">
        <v>25</v>
      </c>
      <c r="E4" s="3" t="s">
        <v>26</v>
      </c>
      <c r="F4" s="2" t="s">
        <v>46</v>
      </c>
      <c r="G4" s="3">
        <v>1</v>
      </c>
      <c r="H4" s="3">
        <v>1</v>
      </c>
      <c r="I4" s="3">
        <v>1</v>
      </c>
      <c r="J4" s="3">
        <v>3</v>
      </c>
      <c r="K4" s="3">
        <v>4</v>
      </c>
      <c r="L4" s="3">
        <v>1</v>
      </c>
      <c r="M4" s="3">
        <f t="shared" si="0"/>
        <v>18.5</v>
      </c>
      <c r="N4" s="2" t="s">
        <v>47</v>
      </c>
      <c r="O4" s="2" t="s">
        <v>48</v>
      </c>
      <c r="P4" s="2" t="s">
        <v>49</v>
      </c>
      <c r="Q4" s="2" t="s">
        <v>31</v>
      </c>
      <c r="R4" s="2" t="s">
        <v>32</v>
      </c>
      <c r="S4" s="2" t="s">
        <v>33</v>
      </c>
      <c r="T4" s="3" t="s">
        <v>34</v>
      </c>
      <c r="U4" s="3" t="s">
        <v>35</v>
      </c>
      <c r="V4" s="3" t="s">
        <v>36</v>
      </c>
    </row>
    <row r="5" spans="1:22" ht="60" customHeight="1" x14ac:dyDescent="0.3">
      <c r="A5" s="2" t="s">
        <v>50</v>
      </c>
      <c r="B5" s="2" t="s">
        <v>51</v>
      </c>
      <c r="C5" s="3" t="s">
        <v>24</v>
      </c>
      <c r="D5" s="3" t="s">
        <v>25</v>
      </c>
      <c r="E5" s="3" t="s">
        <v>26</v>
      </c>
      <c r="F5" s="2" t="s">
        <v>52</v>
      </c>
      <c r="G5" s="3">
        <v>1</v>
      </c>
      <c r="H5" s="3">
        <v>1</v>
      </c>
      <c r="I5" s="3">
        <v>1</v>
      </c>
      <c r="J5" s="3">
        <v>3</v>
      </c>
      <c r="K5" s="3">
        <v>4</v>
      </c>
      <c r="L5" s="3">
        <v>1</v>
      </c>
      <c r="M5" s="3">
        <f t="shared" si="0"/>
        <v>18.5</v>
      </c>
      <c r="N5" s="2" t="s">
        <v>53</v>
      </c>
      <c r="O5" s="2" t="s">
        <v>54</v>
      </c>
      <c r="P5" s="2" t="s">
        <v>55</v>
      </c>
      <c r="Q5" s="2" t="s">
        <v>31</v>
      </c>
      <c r="R5" s="2" t="s">
        <v>32</v>
      </c>
      <c r="S5" s="2" t="s">
        <v>33</v>
      </c>
      <c r="T5" s="3" t="s">
        <v>34</v>
      </c>
      <c r="U5" s="3" t="s">
        <v>35</v>
      </c>
      <c r="V5" s="3" t="s">
        <v>36</v>
      </c>
    </row>
    <row r="6" spans="1:22" ht="60" customHeight="1" x14ac:dyDescent="0.3">
      <c r="A6" s="2" t="s">
        <v>56</v>
      </c>
      <c r="B6" s="2" t="s">
        <v>57</v>
      </c>
      <c r="C6" s="3" t="s">
        <v>24</v>
      </c>
      <c r="D6" s="3" t="s">
        <v>25</v>
      </c>
      <c r="E6" s="3" t="s">
        <v>26</v>
      </c>
      <c r="F6" s="2" t="s">
        <v>58</v>
      </c>
      <c r="G6" s="3">
        <v>1</v>
      </c>
      <c r="H6" s="3">
        <v>1</v>
      </c>
      <c r="I6" s="3">
        <v>1</v>
      </c>
      <c r="J6" s="3">
        <v>3</v>
      </c>
      <c r="K6" s="3">
        <v>4</v>
      </c>
      <c r="L6" s="3">
        <v>1</v>
      </c>
      <c r="M6" s="3">
        <f t="shared" si="0"/>
        <v>18.5</v>
      </c>
      <c r="N6" s="2" t="s">
        <v>59</v>
      </c>
      <c r="O6" s="2" t="s">
        <v>60</v>
      </c>
      <c r="P6" s="2" t="s">
        <v>61</v>
      </c>
      <c r="Q6" s="2" t="s">
        <v>31</v>
      </c>
      <c r="R6" s="2" t="s">
        <v>32</v>
      </c>
      <c r="S6" s="2" t="s">
        <v>33</v>
      </c>
      <c r="T6" s="3" t="s">
        <v>34</v>
      </c>
      <c r="U6" s="3" t="s">
        <v>35</v>
      </c>
      <c r="V6" s="3" t="s">
        <v>36</v>
      </c>
    </row>
    <row r="7" spans="1:22" ht="60" customHeight="1" x14ac:dyDescent="0.3">
      <c r="A7" s="2" t="s">
        <v>62</v>
      </c>
      <c r="B7" s="2" t="s">
        <v>63</v>
      </c>
      <c r="C7" s="3" t="s">
        <v>24</v>
      </c>
      <c r="D7" s="3" t="s">
        <v>25</v>
      </c>
      <c r="E7" s="3" t="s">
        <v>64</v>
      </c>
      <c r="F7" s="2" t="s">
        <v>65</v>
      </c>
      <c r="G7" s="3">
        <v>1</v>
      </c>
      <c r="H7" s="3">
        <v>1</v>
      </c>
      <c r="I7" s="3">
        <v>1</v>
      </c>
      <c r="J7" s="3">
        <v>3</v>
      </c>
      <c r="K7" s="3">
        <v>4</v>
      </c>
      <c r="L7" s="3">
        <v>1</v>
      </c>
      <c r="M7" s="3">
        <f t="shared" si="0"/>
        <v>18.5</v>
      </c>
      <c r="N7" s="2" t="s">
        <v>66</v>
      </c>
      <c r="O7" s="2" t="s">
        <v>67</v>
      </c>
      <c r="P7" s="2" t="s">
        <v>68</v>
      </c>
      <c r="Q7" s="2" t="s">
        <v>69</v>
      </c>
      <c r="R7" s="2" t="s">
        <v>32</v>
      </c>
      <c r="S7" s="2" t="s">
        <v>43</v>
      </c>
      <c r="T7" s="3" t="s">
        <v>34</v>
      </c>
      <c r="U7" s="3" t="s">
        <v>35</v>
      </c>
      <c r="V7" s="3" t="s">
        <v>36</v>
      </c>
    </row>
    <row r="8" spans="1:22" ht="60" customHeight="1" x14ac:dyDescent="0.3">
      <c r="A8" s="2" t="s">
        <v>70</v>
      </c>
      <c r="B8" s="2" t="s">
        <v>71</v>
      </c>
      <c r="C8" s="3" t="s">
        <v>24</v>
      </c>
      <c r="D8" s="3" t="s">
        <v>25</v>
      </c>
      <c r="E8" s="3" t="s">
        <v>64</v>
      </c>
      <c r="F8" s="2" t="s">
        <v>39</v>
      </c>
      <c r="G8" s="3">
        <v>1</v>
      </c>
      <c r="H8" s="3">
        <v>1</v>
      </c>
      <c r="I8" s="3">
        <v>1</v>
      </c>
      <c r="J8" s="3">
        <v>3</v>
      </c>
      <c r="K8" s="3">
        <v>4</v>
      </c>
      <c r="L8" s="3">
        <v>1</v>
      </c>
      <c r="M8" s="3">
        <f t="shared" si="0"/>
        <v>18.5</v>
      </c>
      <c r="N8" s="2" t="s">
        <v>72</v>
      </c>
      <c r="O8" s="2" t="s">
        <v>73</v>
      </c>
      <c r="P8" s="2" t="s">
        <v>74</v>
      </c>
      <c r="Q8" s="2" t="s">
        <v>69</v>
      </c>
      <c r="R8" s="2" t="s">
        <v>32</v>
      </c>
      <c r="S8" s="2" t="s">
        <v>75</v>
      </c>
      <c r="T8" s="3" t="s">
        <v>34</v>
      </c>
      <c r="U8" s="3" t="s">
        <v>35</v>
      </c>
      <c r="V8" s="3" t="s">
        <v>36</v>
      </c>
    </row>
    <row r="9" spans="1:22" ht="60" customHeight="1" x14ac:dyDescent="0.3">
      <c r="A9" s="2" t="s">
        <v>76</v>
      </c>
      <c r="B9" s="2" t="s">
        <v>77</v>
      </c>
      <c r="C9" s="3" t="s">
        <v>24</v>
      </c>
      <c r="D9" s="3" t="s">
        <v>25</v>
      </c>
      <c r="E9" s="3" t="s">
        <v>64</v>
      </c>
      <c r="F9" s="2" t="s">
        <v>52</v>
      </c>
      <c r="G9" s="3">
        <v>1</v>
      </c>
      <c r="H9" s="3">
        <v>1</v>
      </c>
      <c r="I9" s="3">
        <v>1</v>
      </c>
      <c r="J9" s="3">
        <v>3</v>
      </c>
      <c r="K9" s="3">
        <v>4</v>
      </c>
      <c r="L9" s="3">
        <v>1</v>
      </c>
      <c r="M9" s="3">
        <f t="shared" si="0"/>
        <v>18.5</v>
      </c>
      <c r="N9" s="2" t="s">
        <v>78</v>
      </c>
      <c r="O9" s="2" t="s">
        <v>79</v>
      </c>
      <c r="P9" s="2" t="s">
        <v>80</v>
      </c>
      <c r="Q9" s="2" t="s">
        <v>69</v>
      </c>
      <c r="R9" s="2" t="s">
        <v>32</v>
      </c>
      <c r="S9" s="2" t="s">
        <v>43</v>
      </c>
      <c r="T9" s="3" t="s">
        <v>34</v>
      </c>
      <c r="U9" s="3" t="s">
        <v>35</v>
      </c>
      <c r="V9" s="3" t="s">
        <v>36</v>
      </c>
    </row>
    <row r="10" spans="1:22" ht="60" customHeight="1" x14ac:dyDescent="0.3">
      <c r="A10" s="2" t="s">
        <v>81</v>
      </c>
      <c r="B10" s="2" t="s">
        <v>82</v>
      </c>
      <c r="C10" s="3" t="s">
        <v>24</v>
      </c>
      <c r="D10" s="3" t="s">
        <v>25</v>
      </c>
      <c r="E10" s="3" t="s">
        <v>64</v>
      </c>
      <c r="F10" s="2" t="s">
        <v>65</v>
      </c>
      <c r="G10" s="3">
        <v>1</v>
      </c>
      <c r="H10" s="3">
        <v>1</v>
      </c>
      <c r="I10" s="3">
        <v>1</v>
      </c>
      <c r="J10" s="3">
        <v>3</v>
      </c>
      <c r="K10" s="3">
        <v>4</v>
      </c>
      <c r="L10" s="3">
        <v>1</v>
      </c>
      <c r="M10" s="3">
        <f t="shared" si="0"/>
        <v>18.5</v>
      </c>
      <c r="N10" s="2" t="s">
        <v>83</v>
      </c>
      <c r="O10" s="2" t="s">
        <v>84</v>
      </c>
      <c r="P10" s="2" t="s">
        <v>85</v>
      </c>
      <c r="Q10" s="2" t="s">
        <v>69</v>
      </c>
      <c r="R10" s="2" t="s">
        <v>32</v>
      </c>
      <c r="S10" s="2" t="s">
        <v>43</v>
      </c>
      <c r="T10" s="3" t="s">
        <v>34</v>
      </c>
      <c r="U10" s="3" t="s">
        <v>35</v>
      </c>
      <c r="V10" s="3" t="s">
        <v>36</v>
      </c>
    </row>
    <row r="11" spans="1:22" ht="60" customHeight="1" x14ac:dyDescent="0.3">
      <c r="A11" s="2" t="s">
        <v>86</v>
      </c>
      <c r="B11" s="2" t="s">
        <v>87</v>
      </c>
      <c r="C11" s="3" t="s">
        <v>24</v>
      </c>
      <c r="D11" s="3" t="s">
        <v>25</v>
      </c>
      <c r="E11" s="3" t="s">
        <v>64</v>
      </c>
      <c r="F11" s="2" t="s">
        <v>27</v>
      </c>
      <c r="G11" s="3">
        <v>1</v>
      </c>
      <c r="H11" s="3">
        <v>1</v>
      </c>
      <c r="I11" s="3">
        <v>1</v>
      </c>
      <c r="J11" s="3">
        <v>4</v>
      </c>
      <c r="K11" s="3">
        <v>4</v>
      </c>
      <c r="L11" s="3">
        <v>1</v>
      </c>
      <c r="M11" s="3">
        <f t="shared" si="0"/>
        <v>20.500000000000004</v>
      </c>
      <c r="N11" s="2" t="s">
        <v>88</v>
      </c>
      <c r="O11" s="2" t="s">
        <v>89</v>
      </c>
      <c r="P11" s="2" t="s">
        <v>90</v>
      </c>
      <c r="Q11" s="2" t="s">
        <v>69</v>
      </c>
      <c r="R11" s="2" t="s">
        <v>91</v>
      </c>
      <c r="S11" s="2" t="s">
        <v>92</v>
      </c>
      <c r="T11" s="3" t="s">
        <v>34</v>
      </c>
      <c r="U11" s="3" t="s">
        <v>35</v>
      </c>
      <c r="V11" s="3" t="s">
        <v>36</v>
      </c>
    </row>
    <row r="12" spans="1:22" ht="60" customHeight="1" x14ac:dyDescent="0.3">
      <c r="A12" s="2" t="s">
        <v>93</v>
      </c>
      <c r="B12" s="2" t="s">
        <v>94</v>
      </c>
      <c r="C12" s="3" t="s">
        <v>24</v>
      </c>
      <c r="D12" s="3" t="s">
        <v>25</v>
      </c>
      <c r="E12" s="3" t="s">
        <v>64</v>
      </c>
      <c r="F12" s="2" t="s">
        <v>46</v>
      </c>
      <c r="G12" s="3">
        <v>1</v>
      </c>
      <c r="H12" s="3">
        <v>1</v>
      </c>
      <c r="I12" s="3">
        <v>1</v>
      </c>
      <c r="J12" s="3">
        <v>4</v>
      </c>
      <c r="K12" s="3">
        <v>4</v>
      </c>
      <c r="L12" s="3">
        <v>1</v>
      </c>
      <c r="M12" s="3">
        <f t="shared" si="0"/>
        <v>20.500000000000004</v>
      </c>
      <c r="N12" s="2" t="s">
        <v>95</v>
      </c>
      <c r="O12" s="2" t="s">
        <v>96</v>
      </c>
      <c r="P12" s="2" t="s">
        <v>97</v>
      </c>
      <c r="Q12" s="2" t="s">
        <v>69</v>
      </c>
      <c r="R12" s="2" t="s">
        <v>91</v>
      </c>
      <c r="S12" s="2" t="s">
        <v>75</v>
      </c>
      <c r="T12" s="3" t="s">
        <v>34</v>
      </c>
      <c r="U12" s="3" t="s">
        <v>35</v>
      </c>
      <c r="V12" s="3" t="s">
        <v>36</v>
      </c>
    </row>
    <row r="13" spans="1:22" ht="60" customHeight="1" x14ac:dyDescent="0.3">
      <c r="A13" s="4" t="s">
        <v>98</v>
      </c>
      <c r="B13" s="4" t="s">
        <v>99</v>
      </c>
      <c r="C13" s="5" t="s">
        <v>24</v>
      </c>
      <c r="D13" s="5" t="s">
        <v>25</v>
      </c>
      <c r="E13" s="5" t="s">
        <v>26</v>
      </c>
      <c r="F13" s="4" t="s">
        <v>39</v>
      </c>
      <c r="G13" s="5">
        <v>1</v>
      </c>
      <c r="H13" s="5">
        <v>1</v>
      </c>
      <c r="I13" s="5">
        <v>1</v>
      </c>
      <c r="J13" s="5">
        <v>2</v>
      </c>
      <c r="K13" s="5">
        <v>4</v>
      </c>
      <c r="L13" s="5">
        <v>1</v>
      </c>
      <c r="M13" s="5">
        <f t="shared" si="0"/>
        <v>16.5</v>
      </c>
      <c r="N13" s="4" t="s">
        <v>100</v>
      </c>
      <c r="O13" s="4" t="s">
        <v>101</v>
      </c>
      <c r="P13" s="4" t="s">
        <v>102</v>
      </c>
      <c r="Q13" s="4" t="s">
        <v>31</v>
      </c>
      <c r="R13" s="4" t="s">
        <v>91</v>
      </c>
      <c r="S13" s="4" t="s">
        <v>33</v>
      </c>
      <c r="T13" s="5" t="s">
        <v>103</v>
      </c>
      <c r="U13" s="5" t="s">
        <v>104</v>
      </c>
      <c r="V13" s="5" t="s">
        <v>36</v>
      </c>
    </row>
    <row r="14" spans="1:22" ht="60" customHeight="1" x14ac:dyDescent="0.3">
      <c r="A14" s="4" t="s">
        <v>105</v>
      </c>
      <c r="B14" s="4" t="s">
        <v>106</v>
      </c>
      <c r="C14" s="5" t="s">
        <v>24</v>
      </c>
      <c r="D14" s="5" t="s">
        <v>25</v>
      </c>
      <c r="E14" s="5" t="s">
        <v>64</v>
      </c>
      <c r="F14" s="4" t="s">
        <v>27</v>
      </c>
      <c r="G14" s="5">
        <v>1</v>
      </c>
      <c r="H14" s="5">
        <v>1</v>
      </c>
      <c r="I14" s="5">
        <v>1</v>
      </c>
      <c r="J14" s="5">
        <v>4</v>
      </c>
      <c r="K14" s="5">
        <v>4</v>
      </c>
      <c r="L14" s="5">
        <v>1</v>
      </c>
      <c r="M14" s="5">
        <f t="shared" si="0"/>
        <v>20.500000000000004</v>
      </c>
      <c r="N14" s="4" t="s">
        <v>107</v>
      </c>
      <c r="O14" s="4" t="s">
        <v>108</v>
      </c>
      <c r="P14" s="4" t="s">
        <v>109</v>
      </c>
      <c r="Q14" s="4" t="s">
        <v>69</v>
      </c>
      <c r="R14" s="4" t="s">
        <v>110</v>
      </c>
      <c r="S14" s="4" t="s">
        <v>111</v>
      </c>
      <c r="T14" s="5" t="s">
        <v>103</v>
      </c>
      <c r="U14" s="5" t="s">
        <v>104</v>
      </c>
      <c r="V14" s="5" t="s">
        <v>36</v>
      </c>
    </row>
    <row r="15" spans="1:22" ht="60" customHeight="1" x14ac:dyDescent="0.3">
      <c r="A15" s="6" t="s">
        <v>112</v>
      </c>
      <c r="B15" s="6" t="s">
        <v>113</v>
      </c>
      <c r="C15" s="7" t="s">
        <v>114</v>
      </c>
      <c r="D15" s="7" t="s">
        <v>25</v>
      </c>
      <c r="E15" s="7" t="s">
        <v>26</v>
      </c>
      <c r="F15" s="6" t="s">
        <v>27</v>
      </c>
      <c r="G15" s="7">
        <v>5</v>
      </c>
      <c r="H15" s="7">
        <v>6</v>
      </c>
      <c r="I15" s="7">
        <v>4</v>
      </c>
      <c r="J15" s="7">
        <v>7</v>
      </c>
      <c r="K15" s="7">
        <v>4</v>
      </c>
      <c r="L15" s="7">
        <v>4</v>
      </c>
      <c r="M15" s="7">
        <f t="shared" si="0"/>
        <v>51.5</v>
      </c>
      <c r="N15" s="6" t="s">
        <v>115</v>
      </c>
      <c r="O15" s="6" t="s">
        <v>116</v>
      </c>
      <c r="P15" s="6" t="s">
        <v>117</v>
      </c>
      <c r="Q15" s="6" t="s">
        <v>118</v>
      </c>
      <c r="R15" s="6" t="s">
        <v>119</v>
      </c>
      <c r="S15" s="6" t="s">
        <v>120</v>
      </c>
      <c r="T15" s="7" t="s">
        <v>34</v>
      </c>
      <c r="U15" s="7" t="s">
        <v>35</v>
      </c>
      <c r="V15" s="7" t="s">
        <v>36</v>
      </c>
    </row>
    <row r="16" spans="1:22" ht="60" customHeight="1" x14ac:dyDescent="0.3">
      <c r="A16" s="4" t="s">
        <v>121</v>
      </c>
      <c r="B16" s="4" t="s">
        <v>122</v>
      </c>
      <c r="C16" s="5" t="s">
        <v>114</v>
      </c>
      <c r="D16" s="5" t="s">
        <v>25</v>
      </c>
      <c r="E16" s="5" t="s">
        <v>64</v>
      </c>
      <c r="F16" s="4" t="s">
        <v>39</v>
      </c>
      <c r="G16" s="5">
        <v>6</v>
      </c>
      <c r="H16" s="5">
        <v>7</v>
      </c>
      <c r="I16" s="5">
        <v>4</v>
      </c>
      <c r="J16" s="5">
        <v>6</v>
      </c>
      <c r="K16" s="5">
        <v>4</v>
      </c>
      <c r="L16" s="5">
        <v>5</v>
      </c>
      <c r="M16" s="5">
        <f t="shared" si="0"/>
        <v>53.999999999999993</v>
      </c>
      <c r="N16" s="4" t="s">
        <v>123</v>
      </c>
      <c r="O16" s="4" t="s">
        <v>124</v>
      </c>
      <c r="P16" s="4" t="s">
        <v>125</v>
      </c>
      <c r="Q16" s="4" t="s">
        <v>126</v>
      </c>
      <c r="R16" s="4" t="s">
        <v>127</v>
      </c>
      <c r="S16" s="4" t="s">
        <v>128</v>
      </c>
      <c r="T16" s="5" t="s">
        <v>103</v>
      </c>
      <c r="U16" s="5" t="s">
        <v>104</v>
      </c>
      <c r="V16" s="5" t="s">
        <v>36</v>
      </c>
    </row>
    <row r="17" spans="1:22" ht="60" customHeight="1" x14ac:dyDescent="0.3">
      <c r="A17" s="4" t="s">
        <v>129</v>
      </c>
      <c r="B17" s="4" t="s">
        <v>130</v>
      </c>
      <c r="C17" s="5" t="s">
        <v>114</v>
      </c>
      <c r="D17" s="5" t="s">
        <v>25</v>
      </c>
      <c r="E17" s="5" t="s">
        <v>26</v>
      </c>
      <c r="F17" s="4" t="s">
        <v>39</v>
      </c>
      <c r="G17" s="5">
        <v>5</v>
      </c>
      <c r="H17" s="5">
        <v>5</v>
      </c>
      <c r="I17" s="5">
        <v>5</v>
      </c>
      <c r="J17" s="5">
        <v>8</v>
      </c>
      <c r="K17" s="5">
        <v>4</v>
      </c>
      <c r="L17" s="5">
        <v>7</v>
      </c>
      <c r="M17" s="5">
        <f t="shared" si="0"/>
        <v>56.499999999999993</v>
      </c>
      <c r="N17" s="4" t="s">
        <v>131</v>
      </c>
      <c r="O17" s="4" t="s">
        <v>132</v>
      </c>
      <c r="P17" s="4" t="s">
        <v>133</v>
      </c>
      <c r="Q17" s="4" t="s">
        <v>134</v>
      </c>
      <c r="R17" s="4" t="s">
        <v>135</v>
      </c>
      <c r="S17" s="4" t="s">
        <v>136</v>
      </c>
      <c r="T17" s="5" t="s">
        <v>103</v>
      </c>
      <c r="U17" s="5" t="s">
        <v>104</v>
      </c>
      <c r="V17" s="5" t="s">
        <v>36</v>
      </c>
    </row>
    <row r="18" spans="1:22" ht="60" customHeight="1" x14ac:dyDescent="0.3">
      <c r="A18" s="6" t="s">
        <v>137</v>
      </c>
      <c r="B18" s="6" t="s">
        <v>138</v>
      </c>
      <c r="C18" s="7" t="s">
        <v>114</v>
      </c>
      <c r="D18" s="7" t="s">
        <v>25</v>
      </c>
      <c r="E18" s="7" t="s">
        <v>64</v>
      </c>
      <c r="F18" s="6" t="s">
        <v>46</v>
      </c>
      <c r="G18" s="7">
        <v>5</v>
      </c>
      <c r="H18" s="7">
        <v>5</v>
      </c>
      <c r="I18" s="7">
        <v>5</v>
      </c>
      <c r="J18" s="7">
        <v>7</v>
      </c>
      <c r="K18" s="7">
        <v>4</v>
      </c>
      <c r="L18" s="7">
        <v>7</v>
      </c>
      <c r="M18" s="7">
        <f t="shared" si="0"/>
        <v>54.5</v>
      </c>
      <c r="N18" s="6" t="s">
        <v>139</v>
      </c>
      <c r="O18" s="6" t="s">
        <v>140</v>
      </c>
      <c r="P18" s="6" t="s">
        <v>141</v>
      </c>
      <c r="Q18" s="6" t="s">
        <v>142</v>
      </c>
      <c r="R18" s="6" t="s">
        <v>143</v>
      </c>
      <c r="S18" s="6" t="s">
        <v>144</v>
      </c>
      <c r="T18" s="7" t="s">
        <v>34</v>
      </c>
      <c r="U18" s="7" t="s">
        <v>35</v>
      </c>
      <c r="V18" s="7" t="s">
        <v>36</v>
      </c>
    </row>
    <row r="19" spans="1:22" ht="60" customHeight="1" x14ac:dyDescent="0.3">
      <c r="A19" s="6" t="s">
        <v>145</v>
      </c>
      <c r="B19" s="6" t="s">
        <v>146</v>
      </c>
      <c r="C19" s="7" t="s">
        <v>114</v>
      </c>
      <c r="D19" s="7" t="s">
        <v>25</v>
      </c>
      <c r="E19" s="7" t="s">
        <v>64</v>
      </c>
      <c r="F19" s="6" t="s">
        <v>52</v>
      </c>
      <c r="G19" s="7">
        <v>5</v>
      </c>
      <c r="H19" s="7">
        <v>5</v>
      </c>
      <c r="I19" s="7">
        <v>4</v>
      </c>
      <c r="J19" s="7">
        <v>8</v>
      </c>
      <c r="K19" s="7">
        <v>5</v>
      </c>
      <c r="L19" s="7">
        <v>4</v>
      </c>
      <c r="M19" s="7">
        <f t="shared" si="0"/>
        <v>53.000000000000007</v>
      </c>
      <c r="N19" s="6" t="s">
        <v>147</v>
      </c>
      <c r="O19" s="6" t="s">
        <v>148</v>
      </c>
      <c r="P19" s="6" t="s">
        <v>149</v>
      </c>
      <c r="Q19" s="6" t="s">
        <v>150</v>
      </c>
      <c r="R19" s="6" t="s">
        <v>151</v>
      </c>
      <c r="S19" s="6" t="s">
        <v>150</v>
      </c>
      <c r="T19" s="7" t="s">
        <v>34</v>
      </c>
      <c r="U19" s="7" t="s">
        <v>35</v>
      </c>
      <c r="V19" s="7" t="s">
        <v>36</v>
      </c>
    </row>
    <row r="20" spans="1:22" ht="60" customHeight="1" x14ac:dyDescent="0.3">
      <c r="A20" s="4" t="s">
        <v>152</v>
      </c>
      <c r="B20" s="4" t="s">
        <v>153</v>
      </c>
      <c r="C20" s="5" t="s">
        <v>114</v>
      </c>
      <c r="D20" s="5" t="s">
        <v>25</v>
      </c>
      <c r="E20" s="5" t="s">
        <v>64</v>
      </c>
      <c r="F20" s="4" t="s">
        <v>52</v>
      </c>
      <c r="G20" s="5">
        <v>5</v>
      </c>
      <c r="H20" s="5">
        <v>5</v>
      </c>
      <c r="I20" s="5">
        <v>4</v>
      </c>
      <c r="J20" s="5">
        <v>8</v>
      </c>
      <c r="K20" s="5">
        <v>4</v>
      </c>
      <c r="L20" s="5">
        <v>5</v>
      </c>
      <c r="M20" s="5">
        <f t="shared" si="0"/>
        <v>52.5</v>
      </c>
      <c r="N20" s="4" t="s">
        <v>154</v>
      </c>
      <c r="O20" s="4" t="s">
        <v>155</v>
      </c>
      <c r="P20" s="4" t="s">
        <v>156</v>
      </c>
      <c r="Q20" s="4" t="s">
        <v>150</v>
      </c>
      <c r="R20" s="4" t="s">
        <v>157</v>
      </c>
      <c r="S20" s="4" t="s">
        <v>158</v>
      </c>
      <c r="T20" s="5" t="s">
        <v>103</v>
      </c>
      <c r="U20" s="5" t="s">
        <v>104</v>
      </c>
      <c r="V20" s="5" t="s">
        <v>36</v>
      </c>
    </row>
    <row r="21" spans="1:22" ht="60" customHeight="1" x14ac:dyDescent="0.3">
      <c r="A21" s="6" t="s">
        <v>159</v>
      </c>
      <c r="B21" s="6" t="s">
        <v>160</v>
      </c>
      <c r="C21" s="7" t="s">
        <v>114</v>
      </c>
      <c r="D21" s="7" t="s">
        <v>25</v>
      </c>
      <c r="E21" s="7" t="s">
        <v>26</v>
      </c>
      <c r="F21" s="6" t="s">
        <v>65</v>
      </c>
      <c r="G21" s="7">
        <v>4</v>
      </c>
      <c r="H21" s="7">
        <v>5</v>
      </c>
      <c r="I21" s="7">
        <v>4</v>
      </c>
      <c r="J21" s="7">
        <v>7</v>
      </c>
      <c r="K21" s="7">
        <v>4</v>
      </c>
      <c r="L21" s="7">
        <v>4</v>
      </c>
      <c r="M21" s="7">
        <f t="shared" si="0"/>
        <v>48.000000000000007</v>
      </c>
      <c r="N21" s="6" t="s">
        <v>161</v>
      </c>
      <c r="O21" s="6" t="s">
        <v>162</v>
      </c>
      <c r="P21" s="6" t="s">
        <v>163</v>
      </c>
      <c r="Q21" s="6" t="s">
        <v>118</v>
      </c>
      <c r="R21" s="6" t="s">
        <v>164</v>
      </c>
      <c r="S21" s="6" t="s">
        <v>165</v>
      </c>
      <c r="T21" s="7" t="s">
        <v>34</v>
      </c>
      <c r="U21" s="7" t="s">
        <v>35</v>
      </c>
      <c r="V21" s="7" t="s">
        <v>36</v>
      </c>
    </row>
    <row r="22" spans="1:22" ht="60" customHeight="1" x14ac:dyDescent="0.3">
      <c r="A22" s="6" t="s">
        <v>166</v>
      </c>
      <c r="B22" s="6" t="s">
        <v>167</v>
      </c>
      <c r="C22" s="7" t="s">
        <v>114</v>
      </c>
      <c r="D22" s="7" t="s">
        <v>25</v>
      </c>
      <c r="E22" s="7" t="s">
        <v>64</v>
      </c>
      <c r="F22" s="6" t="s">
        <v>65</v>
      </c>
      <c r="G22" s="7">
        <v>4</v>
      </c>
      <c r="H22" s="7">
        <v>5</v>
      </c>
      <c r="I22" s="7">
        <v>4</v>
      </c>
      <c r="J22" s="7">
        <v>7</v>
      </c>
      <c r="K22" s="7">
        <v>4</v>
      </c>
      <c r="L22" s="7">
        <v>4</v>
      </c>
      <c r="M22" s="7">
        <f t="shared" si="0"/>
        <v>48.000000000000007</v>
      </c>
      <c r="N22" s="6" t="s">
        <v>168</v>
      </c>
      <c r="O22" s="6" t="s">
        <v>169</v>
      </c>
      <c r="P22" s="6" t="s">
        <v>170</v>
      </c>
      <c r="Q22" s="6" t="s">
        <v>118</v>
      </c>
      <c r="R22" s="6" t="s">
        <v>164</v>
      </c>
      <c r="S22" s="6" t="s">
        <v>171</v>
      </c>
      <c r="T22" s="7" t="s">
        <v>34</v>
      </c>
      <c r="U22" s="7" t="s">
        <v>35</v>
      </c>
      <c r="V22" s="7" t="s">
        <v>36</v>
      </c>
    </row>
    <row r="23" spans="1:22" ht="60" customHeight="1" x14ac:dyDescent="0.3">
      <c r="A23" s="6" t="s">
        <v>172</v>
      </c>
      <c r="B23" s="6" t="s">
        <v>173</v>
      </c>
      <c r="C23" s="7" t="s">
        <v>114</v>
      </c>
      <c r="D23" s="7" t="s">
        <v>25</v>
      </c>
      <c r="E23" s="7" t="s">
        <v>64</v>
      </c>
      <c r="F23" s="6" t="s">
        <v>58</v>
      </c>
      <c r="G23" s="7">
        <v>4</v>
      </c>
      <c r="H23" s="7">
        <v>4</v>
      </c>
      <c r="I23" s="7">
        <v>4</v>
      </c>
      <c r="J23" s="7">
        <v>7</v>
      </c>
      <c r="K23" s="7">
        <v>4</v>
      </c>
      <c r="L23" s="7">
        <v>7</v>
      </c>
      <c r="M23" s="7">
        <f t="shared" si="0"/>
        <v>49</v>
      </c>
      <c r="N23" s="6" t="s">
        <v>174</v>
      </c>
      <c r="O23" s="6" t="s">
        <v>175</v>
      </c>
      <c r="P23" s="6" t="s">
        <v>176</v>
      </c>
      <c r="Q23" s="6" t="s">
        <v>177</v>
      </c>
      <c r="R23" s="6" t="s">
        <v>178</v>
      </c>
      <c r="S23" s="6" t="s">
        <v>179</v>
      </c>
      <c r="T23" s="7" t="s">
        <v>34</v>
      </c>
      <c r="U23" s="7" t="s">
        <v>35</v>
      </c>
      <c r="V23" s="7" t="s">
        <v>36</v>
      </c>
    </row>
    <row r="24" spans="1:22" ht="60" customHeight="1" x14ac:dyDescent="0.3">
      <c r="A24" s="6" t="s">
        <v>180</v>
      </c>
      <c r="B24" s="6" t="s">
        <v>181</v>
      </c>
      <c r="C24" s="7" t="s">
        <v>114</v>
      </c>
      <c r="D24" s="7" t="s">
        <v>25</v>
      </c>
      <c r="E24" s="7" t="s">
        <v>26</v>
      </c>
      <c r="F24" s="6" t="s">
        <v>58</v>
      </c>
      <c r="G24" s="7">
        <v>5</v>
      </c>
      <c r="H24" s="7">
        <v>5</v>
      </c>
      <c r="I24" s="7">
        <v>5</v>
      </c>
      <c r="J24" s="7">
        <v>8</v>
      </c>
      <c r="K24" s="7">
        <v>4</v>
      </c>
      <c r="L24" s="7">
        <v>7</v>
      </c>
      <c r="M24" s="7">
        <f t="shared" si="0"/>
        <v>56.499999999999993</v>
      </c>
      <c r="N24" s="6" t="s">
        <v>182</v>
      </c>
      <c r="O24" s="6" t="s">
        <v>183</v>
      </c>
      <c r="P24" s="6" t="s">
        <v>184</v>
      </c>
      <c r="Q24" s="6" t="s">
        <v>134</v>
      </c>
      <c r="R24" s="6" t="s">
        <v>157</v>
      </c>
      <c r="S24" s="6" t="s">
        <v>136</v>
      </c>
      <c r="T24" s="7" t="s">
        <v>34</v>
      </c>
      <c r="U24" s="7" t="s">
        <v>35</v>
      </c>
      <c r="V24" s="7" t="s">
        <v>36</v>
      </c>
    </row>
    <row r="25" spans="1:22" ht="60" customHeight="1" x14ac:dyDescent="0.3">
      <c r="A25" s="4" t="s">
        <v>185</v>
      </c>
      <c r="B25" s="4" t="s">
        <v>186</v>
      </c>
      <c r="C25" s="5" t="s">
        <v>114</v>
      </c>
      <c r="D25" s="5" t="s">
        <v>25</v>
      </c>
      <c r="E25" s="5" t="s">
        <v>64</v>
      </c>
      <c r="F25" s="4" t="s">
        <v>27</v>
      </c>
      <c r="G25" s="5">
        <v>6</v>
      </c>
      <c r="H25" s="5">
        <v>6</v>
      </c>
      <c r="I25" s="5">
        <v>4</v>
      </c>
      <c r="J25" s="5">
        <v>8</v>
      </c>
      <c r="K25" s="5">
        <v>4</v>
      </c>
      <c r="L25" s="5">
        <v>4</v>
      </c>
      <c r="M25" s="5">
        <f t="shared" si="0"/>
        <v>55</v>
      </c>
      <c r="N25" s="4" t="s">
        <v>187</v>
      </c>
      <c r="O25" s="4" t="s">
        <v>188</v>
      </c>
      <c r="P25" s="4" t="s">
        <v>189</v>
      </c>
      <c r="Q25" s="4" t="s">
        <v>150</v>
      </c>
      <c r="R25" s="4" t="s">
        <v>190</v>
      </c>
      <c r="S25" s="4" t="s">
        <v>191</v>
      </c>
      <c r="T25" s="5" t="s">
        <v>103</v>
      </c>
      <c r="U25" s="5" t="s">
        <v>104</v>
      </c>
      <c r="V25" s="5" t="s">
        <v>36</v>
      </c>
    </row>
    <row r="26" spans="1:22" ht="60" customHeight="1" x14ac:dyDescent="0.3">
      <c r="A26" s="4" t="s">
        <v>192</v>
      </c>
      <c r="B26" s="4" t="s">
        <v>193</v>
      </c>
      <c r="C26" s="5" t="s">
        <v>114</v>
      </c>
      <c r="D26" s="5" t="s">
        <v>25</v>
      </c>
      <c r="E26" s="5" t="s">
        <v>64</v>
      </c>
      <c r="F26" s="4" t="s">
        <v>39</v>
      </c>
      <c r="G26" s="5">
        <v>5</v>
      </c>
      <c r="H26" s="5">
        <v>5</v>
      </c>
      <c r="I26" s="5">
        <v>5</v>
      </c>
      <c r="J26" s="5">
        <v>8</v>
      </c>
      <c r="K26" s="5">
        <v>4</v>
      </c>
      <c r="L26" s="5">
        <v>6</v>
      </c>
      <c r="M26" s="5">
        <f t="shared" si="0"/>
        <v>55.499999999999986</v>
      </c>
      <c r="N26" s="4" t="s">
        <v>194</v>
      </c>
      <c r="O26" s="4" t="s">
        <v>195</v>
      </c>
      <c r="P26" s="4" t="s">
        <v>196</v>
      </c>
      <c r="Q26" s="4" t="s">
        <v>197</v>
      </c>
      <c r="R26" s="4" t="s">
        <v>135</v>
      </c>
      <c r="S26" s="4" t="s">
        <v>198</v>
      </c>
      <c r="T26" s="5" t="s">
        <v>103</v>
      </c>
      <c r="U26" s="5" t="s">
        <v>104</v>
      </c>
      <c r="V26" s="5" t="s">
        <v>36</v>
      </c>
    </row>
    <row r="27" spans="1:22" ht="60" customHeight="1" x14ac:dyDescent="0.3">
      <c r="A27" s="6" t="s">
        <v>199</v>
      </c>
      <c r="B27" s="6" t="s">
        <v>200</v>
      </c>
      <c r="C27" s="7" t="s">
        <v>114</v>
      </c>
      <c r="D27" s="7" t="s">
        <v>25</v>
      </c>
      <c r="E27" s="7" t="s">
        <v>64</v>
      </c>
      <c r="F27" s="6" t="s">
        <v>52</v>
      </c>
      <c r="G27" s="7">
        <v>4</v>
      </c>
      <c r="H27" s="7">
        <v>5</v>
      </c>
      <c r="I27" s="7">
        <v>4</v>
      </c>
      <c r="J27" s="7">
        <v>7</v>
      </c>
      <c r="K27" s="7">
        <v>4</v>
      </c>
      <c r="L27" s="7">
        <v>4</v>
      </c>
      <c r="M27" s="7">
        <f t="shared" si="0"/>
        <v>48.000000000000007</v>
      </c>
      <c r="N27" s="6" t="s">
        <v>201</v>
      </c>
      <c r="O27" s="6" t="s">
        <v>202</v>
      </c>
      <c r="P27" s="6" t="s">
        <v>203</v>
      </c>
      <c r="Q27" s="6" t="s">
        <v>118</v>
      </c>
      <c r="R27" s="6" t="s">
        <v>164</v>
      </c>
      <c r="S27" s="6" t="s">
        <v>171</v>
      </c>
      <c r="T27" s="7" t="s">
        <v>34</v>
      </c>
      <c r="U27" s="7" t="s">
        <v>35</v>
      </c>
      <c r="V27" s="7" t="s">
        <v>36</v>
      </c>
    </row>
    <row r="28" spans="1:22" ht="60" customHeight="1" x14ac:dyDescent="0.3">
      <c r="A28" s="6" t="s">
        <v>204</v>
      </c>
      <c r="B28" s="6" t="s">
        <v>205</v>
      </c>
      <c r="C28" s="7" t="s">
        <v>114</v>
      </c>
      <c r="D28" s="7" t="s">
        <v>25</v>
      </c>
      <c r="E28" s="7" t="s">
        <v>26</v>
      </c>
      <c r="F28" s="6" t="s">
        <v>65</v>
      </c>
      <c r="G28" s="7">
        <v>5</v>
      </c>
      <c r="H28" s="7">
        <v>5</v>
      </c>
      <c r="I28" s="7">
        <v>4</v>
      </c>
      <c r="J28" s="7">
        <v>7</v>
      </c>
      <c r="K28" s="7">
        <v>4</v>
      </c>
      <c r="L28" s="7">
        <v>4</v>
      </c>
      <c r="M28" s="7">
        <f t="shared" si="0"/>
        <v>49.5</v>
      </c>
      <c r="N28" s="6" t="s">
        <v>206</v>
      </c>
      <c r="O28" s="6" t="s">
        <v>207</v>
      </c>
      <c r="P28" s="6" t="s">
        <v>208</v>
      </c>
      <c r="Q28" s="6" t="s">
        <v>150</v>
      </c>
      <c r="R28" s="6" t="s">
        <v>164</v>
      </c>
      <c r="S28" s="6" t="s">
        <v>209</v>
      </c>
      <c r="T28" s="7" t="s">
        <v>34</v>
      </c>
      <c r="U28" s="7" t="s">
        <v>35</v>
      </c>
      <c r="V28" s="7" t="s">
        <v>36</v>
      </c>
    </row>
    <row r="29" spans="1:22" ht="60" customHeight="1" x14ac:dyDescent="0.3">
      <c r="A29" s="6" t="s">
        <v>210</v>
      </c>
      <c r="B29" s="6" t="s">
        <v>211</v>
      </c>
      <c r="C29" s="7" t="s">
        <v>114</v>
      </c>
      <c r="D29" s="7" t="s">
        <v>25</v>
      </c>
      <c r="E29" s="7" t="s">
        <v>64</v>
      </c>
      <c r="F29" s="6" t="s">
        <v>65</v>
      </c>
      <c r="G29" s="7">
        <v>5</v>
      </c>
      <c r="H29" s="7">
        <v>5</v>
      </c>
      <c r="I29" s="7">
        <v>4</v>
      </c>
      <c r="J29" s="7">
        <v>7</v>
      </c>
      <c r="K29" s="7">
        <v>4</v>
      </c>
      <c r="L29" s="7">
        <v>4</v>
      </c>
      <c r="M29" s="7">
        <f t="shared" si="0"/>
        <v>49.5</v>
      </c>
      <c r="N29" s="6" t="s">
        <v>212</v>
      </c>
      <c r="O29" s="6" t="s">
        <v>213</v>
      </c>
      <c r="P29" s="6" t="s">
        <v>214</v>
      </c>
      <c r="Q29" s="6" t="s">
        <v>150</v>
      </c>
      <c r="R29" s="6" t="s">
        <v>164</v>
      </c>
      <c r="S29" s="6" t="s">
        <v>209</v>
      </c>
      <c r="T29" s="7" t="s">
        <v>34</v>
      </c>
      <c r="U29" s="7" t="s">
        <v>35</v>
      </c>
      <c r="V29" s="7" t="s">
        <v>36</v>
      </c>
    </row>
    <row r="30" spans="1:22" ht="60" customHeight="1" x14ac:dyDescent="0.3">
      <c r="A30" s="4" t="s">
        <v>215</v>
      </c>
      <c r="B30" s="4" t="s">
        <v>216</v>
      </c>
      <c r="C30" s="5" t="s">
        <v>114</v>
      </c>
      <c r="D30" s="5" t="s">
        <v>25</v>
      </c>
      <c r="E30" s="5" t="s">
        <v>64</v>
      </c>
      <c r="F30" s="4" t="s">
        <v>46</v>
      </c>
      <c r="G30" s="5">
        <v>5</v>
      </c>
      <c r="H30" s="5">
        <v>5</v>
      </c>
      <c r="I30" s="5">
        <v>5</v>
      </c>
      <c r="J30" s="5">
        <v>8</v>
      </c>
      <c r="K30" s="5">
        <v>4</v>
      </c>
      <c r="L30" s="5">
        <v>6</v>
      </c>
      <c r="M30" s="5">
        <f t="shared" si="0"/>
        <v>55.499999999999986</v>
      </c>
      <c r="N30" s="4" t="s">
        <v>217</v>
      </c>
      <c r="O30" s="4" t="s">
        <v>218</v>
      </c>
      <c r="P30" s="4" t="s">
        <v>219</v>
      </c>
      <c r="Q30" s="4" t="s">
        <v>197</v>
      </c>
      <c r="R30" s="4" t="s">
        <v>135</v>
      </c>
      <c r="S30" s="4" t="s">
        <v>198</v>
      </c>
      <c r="T30" s="5" t="s">
        <v>103</v>
      </c>
      <c r="U30" s="5" t="s">
        <v>104</v>
      </c>
      <c r="V30" s="5" t="s">
        <v>36</v>
      </c>
    </row>
    <row r="31" spans="1:22" ht="60" customHeight="1" x14ac:dyDescent="0.3">
      <c r="A31" s="6" t="s">
        <v>220</v>
      </c>
      <c r="B31" s="6" t="s">
        <v>221</v>
      </c>
      <c r="C31" s="7" t="s">
        <v>114</v>
      </c>
      <c r="D31" s="7" t="s">
        <v>25</v>
      </c>
      <c r="E31" s="7" t="s">
        <v>26</v>
      </c>
      <c r="F31" s="6" t="s">
        <v>58</v>
      </c>
      <c r="G31" s="7">
        <v>5</v>
      </c>
      <c r="H31" s="7">
        <v>5</v>
      </c>
      <c r="I31" s="7">
        <v>4</v>
      </c>
      <c r="J31" s="7">
        <v>8</v>
      </c>
      <c r="K31" s="7">
        <v>4</v>
      </c>
      <c r="L31" s="7">
        <v>4</v>
      </c>
      <c r="M31" s="7">
        <f t="shared" si="0"/>
        <v>51.5</v>
      </c>
      <c r="N31" s="6" t="s">
        <v>222</v>
      </c>
      <c r="O31" s="6" t="s">
        <v>223</v>
      </c>
      <c r="P31" s="6" t="s">
        <v>224</v>
      </c>
      <c r="Q31" s="6" t="s">
        <v>150</v>
      </c>
      <c r="R31" s="6" t="s">
        <v>225</v>
      </c>
      <c r="S31" s="6" t="s">
        <v>209</v>
      </c>
      <c r="T31" s="7" t="s">
        <v>34</v>
      </c>
      <c r="U31" s="7" t="s">
        <v>35</v>
      </c>
      <c r="V31" s="7" t="s">
        <v>36</v>
      </c>
    </row>
    <row r="32" spans="1:22" ht="60" customHeight="1" x14ac:dyDescent="0.3">
      <c r="A32" s="4" t="s">
        <v>226</v>
      </c>
      <c r="B32" s="4" t="s">
        <v>227</v>
      </c>
      <c r="C32" s="5" t="s">
        <v>114</v>
      </c>
      <c r="D32" s="5" t="s">
        <v>25</v>
      </c>
      <c r="E32" s="5" t="s">
        <v>64</v>
      </c>
      <c r="F32" s="4" t="s">
        <v>52</v>
      </c>
      <c r="G32" s="5">
        <v>5</v>
      </c>
      <c r="H32" s="5">
        <v>5</v>
      </c>
      <c r="I32" s="5">
        <v>4</v>
      </c>
      <c r="J32" s="5">
        <v>8</v>
      </c>
      <c r="K32" s="5">
        <v>4</v>
      </c>
      <c r="L32" s="5">
        <v>6</v>
      </c>
      <c r="M32" s="5">
        <f t="shared" si="0"/>
        <v>53.5</v>
      </c>
      <c r="N32" s="4" t="s">
        <v>228</v>
      </c>
      <c r="O32" s="4" t="s">
        <v>229</v>
      </c>
      <c r="P32" s="4" t="s">
        <v>230</v>
      </c>
      <c r="Q32" s="4" t="s">
        <v>231</v>
      </c>
      <c r="R32" s="4" t="s">
        <v>157</v>
      </c>
      <c r="S32" s="4" t="s">
        <v>120</v>
      </c>
      <c r="T32" s="5" t="s">
        <v>103</v>
      </c>
      <c r="U32" s="5" t="s">
        <v>104</v>
      </c>
      <c r="V32" s="5" t="s">
        <v>36</v>
      </c>
    </row>
    <row r="33" spans="1:22" ht="60" customHeight="1" x14ac:dyDescent="0.3">
      <c r="A33" s="4" t="s">
        <v>232</v>
      </c>
      <c r="B33" s="4" t="s">
        <v>233</v>
      </c>
      <c r="C33" s="5" t="s">
        <v>114</v>
      </c>
      <c r="D33" s="5" t="s">
        <v>25</v>
      </c>
      <c r="E33" s="5" t="s">
        <v>64</v>
      </c>
      <c r="F33" s="4" t="s">
        <v>46</v>
      </c>
      <c r="G33" s="5">
        <v>5</v>
      </c>
      <c r="H33" s="5">
        <v>5</v>
      </c>
      <c r="I33" s="5">
        <v>5</v>
      </c>
      <c r="J33" s="5">
        <v>8</v>
      </c>
      <c r="K33" s="5">
        <v>4</v>
      </c>
      <c r="L33" s="5">
        <v>6</v>
      </c>
      <c r="M33" s="5">
        <f t="shared" si="0"/>
        <v>55.499999999999986</v>
      </c>
      <c r="N33" s="4" t="s">
        <v>234</v>
      </c>
      <c r="O33" s="4" t="s">
        <v>235</v>
      </c>
      <c r="P33" s="4" t="s">
        <v>236</v>
      </c>
      <c r="Q33" s="4" t="s">
        <v>197</v>
      </c>
      <c r="R33" s="4" t="s">
        <v>237</v>
      </c>
      <c r="S33" s="4" t="s">
        <v>198</v>
      </c>
      <c r="T33" s="5" t="s">
        <v>103</v>
      </c>
      <c r="U33" s="5" t="s">
        <v>104</v>
      </c>
      <c r="V33" s="5" t="s">
        <v>36</v>
      </c>
    </row>
    <row r="34" spans="1:22" ht="60" customHeight="1" x14ac:dyDescent="0.3">
      <c r="A34" s="6" t="s">
        <v>238</v>
      </c>
      <c r="B34" s="6" t="s">
        <v>239</v>
      </c>
      <c r="C34" s="7" t="s">
        <v>114</v>
      </c>
      <c r="D34" s="7" t="s">
        <v>25</v>
      </c>
      <c r="E34" s="7" t="s">
        <v>64</v>
      </c>
      <c r="F34" s="6" t="s">
        <v>27</v>
      </c>
      <c r="G34" s="7">
        <v>5</v>
      </c>
      <c r="H34" s="7">
        <v>5</v>
      </c>
      <c r="I34" s="7">
        <v>4</v>
      </c>
      <c r="J34" s="7">
        <v>7</v>
      </c>
      <c r="K34" s="7">
        <v>4</v>
      </c>
      <c r="L34" s="7">
        <v>4</v>
      </c>
      <c r="M34" s="7">
        <f t="shared" ref="M34:M65" si="1">((G34*0.15)+(H34*0.2)+(I34*0.2)+(J34*0.2)+(K34*0.15)+(L34*0.1))*10</f>
        <v>49.5</v>
      </c>
      <c r="N34" s="6" t="s">
        <v>240</v>
      </c>
      <c r="O34" s="6" t="s">
        <v>241</v>
      </c>
      <c r="P34" s="6" t="s">
        <v>242</v>
      </c>
      <c r="Q34" s="6" t="s">
        <v>150</v>
      </c>
      <c r="R34" s="6" t="s">
        <v>164</v>
      </c>
      <c r="S34" s="6" t="s">
        <v>209</v>
      </c>
      <c r="T34" s="7" t="s">
        <v>34</v>
      </c>
      <c r="U34" s="7" t="s">
        <v>35</v>
      </c>
      <c r="V34" s="7" t="s">
        <v>36</v>
      </c>
    </row>
    <row r="35" spans="1:22" ht="60" customHeight="1" x14ac:dyDescent="0.3">
      <c r="A35" s="4" t="s">
        <v>243</v>
      </c>
      <c r="B35" s="4" t="s">
        <v>244</v>
      </c>
      <c r="C35" s="5" t="s">
        <v>114</v>
      </c>
      <c r="D35" s="5" t="s">
        <v>25</v>
      </c>
      <c r="E35" s="5" t="s">
        <v>64</v>
      </c>
      <c r="F35" s="4" t="s">
        <v>65</v>
      </c>
      <c r="G35" s="5">
        <v>5</v>
      </c>
      <c r="H35" s="5">
        <v>6</v>
      </c>
      <c r="I35" s="5">
        <v>5</v>
      </c>
      <c r="J35" s="5">
        <v>8</v>
      </c>
      <c r="K35" s="5">
        <v>4</v>
      </c>
      <c r="L35" s="5">
        <v>5</v>
      </c>
      <c r="M35" s="5">
        <f t="shared" si="1"/>
        <v>56.5</v>
      </c>
      <c r="N35" s="4" t="s">
        <v>245</v>
      </c>
      <c r="O35" s="4" t="s">
        <v>246</v>
      </c>
      <c r="P35" s="4" t="s">
        <v>247</v>
      </c>
      <c r="Q35" s="4" t="s">
        <v>248</v>
      </c>
      <c r="R35" s="4" t="s">
        <v>225</v>
      </c>
      <c r="S35" s="4" t="s">
        <v>249</v>
      </c>
      <c r="T35" s="5" t="s">
        <v>103</v>
      </c>
      <c r="U35" s="5" t="s">
        <v>104</v>
      </c>
      <c r="V35" s="5" t="s">
        <v>36</v>
      </c>
    </row>
    <row r="36" spans="1:22" ht="60" customHeight="1" x14ac:dyDescent="0.3">
      <c r="A36" s="4" t="s">
        <v>250</v>
      </c>
      <c r="B36" s="4" t="s">
        <v>251</v>
      </c>
      <c r="C36" s="5" t="s">
        <v>114</v>
      </c>
      <c r="D36" s="5" t="s">
        <v>25</v>
      </c>
      <c r="E36" s="5" t="s">
        <v>26</v>
      </c>
      <c r="F36" s="4" t="s">
        <v>27</v>
      </c>
      <c r="G36" s="5">
        <v>5</v>
      </c>
      <c r="H36" s="5">
        <v>6</v>
      </c>
      <c r="I36" s="5">
        <v>4</v>
      </c>
      <c r="J36" s="5">
        <v>8</v>
      </c>
      <c r="K36" s="5">
        <v>4</v>
      </c>
      <c r="L36" s="5">
        <v>4</v>
      </c>
      <c r="M36" s="5">
        <f t="shared" si="1"/>
        <v>53.5</v>
      </c>
      <c r="N36" s="4" t="s">
        <v>252</v>
      </c>
      <c r="O36" s="4" t="s">
        <v>253</v>
      </c>
      <c r="P36" s="4" t="s">
        <v>254</v>
      </c>
      <c r="Q36" s="4" t="s">
        <v>255</v>
      </c>
      <c r="R36" s="4" t="s">
        <v>178</v>
      </c>
      <c r="S36" s="4" t="s">
        <v>256</v>
      </c>
      <c r="T36" s="5" t="s">
        <v>103</v>
      </c>
      <c r="U36" s="5" t="s">
        <v>104</v>
      </c>
      <c r="V36" s="5" t="s">
        <v>36</v>
      </c>
    </row>
    <row r="37" spans="1:22" ht="60" customHeight="1" x14ac:dyDescent="0.3">
      <c r="A37" s="4" t="s">
        <v>257</v>
      </c>
      <c r="B37" s="4" t="s">
        <v>258</v>
      </c>
      <c r="C37" s="5" t="s">
        <v>114</v>
      </c>
      <c r="D37" s="5" t="s">
        <v>25</v>
      </c>
      <c r="E37" s="5" t="s">
        <v>64</v>
      </c>
      <c r="F37" s="4" t="s">
        <v>65</v>
      </c>
      <c r="G37" s="5">
        <v>6</v>
      </c>
      <c r="H37" s="5">
        <v>6</v>
      </c>
      <c r="I37" s="5">
        <v>5</v>
      </c>
      <c r="J37" s="5">
        <v>8</v>
      </c>
      <c r="K37" s="5">
        <v>4</v>
      </c>
      <c r="L37" s="5">
        <v>6</v>
      </c>
      <c r="M37" s="5">
        <f t="shared" si="1"/>
        <v>59</v>
      </c>
      <c r="N37" s="4" t="s">
        <v>259</v>
      </c>
      <c r="O37" s="4" t="s">
        <v>260</v>
      </c>
      <c r="P37" s="4" t="s">
        <v>261</v>
      </c>
      <c r="Q37" s="4" t="s">
        <v>248</v>
      </c>
      <c r="R37" s="4" t="s">
        <v>135</v>
      </c>
      <c r="S37" s="4" t="s">
        <v>262</v>
      </c>
      <c r="T37" s="5" t="s">
        <v>103</v>
      </c>
      <c r="U37" s="5" t="s">
        <v>104</v>
      </c>
      <c r="V37" s="5" t="s">
        <v>36</v>
      </c>
    </row>
    <row r="38" spans="1:22" ht="60" customHeight="1" x14ac:dyDescent="0.3">
      <c r="A38" s="4" t="s">
        <v>263</v>
      </c>
      <c r="B38" s="4" t="s">
        <v>264</v>
      </c>
      <c r="C38" s="5" t="s">
        <v>114</v>
      </c>
      <c r="D38" s="5" t="s">
        <v>25</v>
      </c>
      <c r="E38" s="5" t="s">
        <v>64</v>
      </c>
      <c r="F38" s="4" t="s">
        <v>58</v>
      </c>
      <c r="G38" s="5">
        <v>5</v>
      </c>
      <c r="H38" s="5">
        <v>6</v>
      </c>
      <c r="I38" s="5">
        <v>5</v>
      </c>
      <c r="J38" s="5">
        <v>8</v>
      </c>
      <c r="K38" s="5">
        <v>4</v>
      </c>
      <c r="L38" s="5">
        <v>4</v>
      </c>
      <c r="M38" s="5">
        <f t="shared" si="1"/>
        <v>55.500000000000007</v>
      </c>
      <c r="N38" s="4" t="s">
        <v>265</v>
      </c>
      <c r="O38" s="4" t="s">
        <v>266</v>
      </c>
      <c r="P38" s="4" t="s">
        <v>267</v>
      </c>
      <c r="Q38" s="4" t="s">
        <v>268</v>
      </c>
      <c r="R38" s="4" t="s">
        <v>225</v>
      </c>
      <c r="S38" s="4" t="s">
        <v>269</v>
      </c>
      <c r="T38" s="5" t="s">
        <v>103</v>
      </c>
      <c r="U38" s="5" t="s">
        <v>104</v>
      </c>
      <c r="V38" s="5" t="s">
        <v>36</v>
      </c>
    </row>
    <row r="39" spans="1:22" ht="60" customHeight="1" x14ac:dyDescent="0.3">
      <c r="A39" s="4" t="s">
        <v>270</v>
      </c>
      <c r="B39" s="4" t="s">
        <v>271</v>
      </c>
      <c r="C39" s="5" t="s">
        <v>114</v>
      </c>
      <c r="D39" s="5" t="s">
        <v>25</v>
      </c>
      <c r="E39" s="5" t="s">
        <v>26</v>
      </c>
      <c r="F39" s="4" t="s">
        <v>65</v>
      </c>
      <c r="G39" s="5">
        <v>5</v>
      </c>
      <c r="H39" s="5">
        <v>6</v>
      </c>
      <c r="I39" s="5">
        <v>5</v>
      </c>
      <c r="J39" s="5">
        <v>8</v>
      </c>
      <c r="K39" s="5">
        <v>4</v>
      </c>
      <c r="L39" s="5">
        <v>4</v>
      </c>
      <c r="M39" s="5">
        <f t="shared" si="1"/>
        <v>55.500000000000007</v>
      </c>
      <c r="N39" s="4" t="s">
        <v>272</v>
      </c>
      <c r="O39" s="4" t="s">
        <v>273</v>
      </c>
      <c r="P39" s="4" t="s">
        <v>274</v>
      </c>
      <c r="Q39" s="4" t="s">
        <v>268</v>
      </c>
      <c r="R39" s="4" t="s">
        <v>225</v>
      </c>
      <c r="S39" s="4" t="s">
        <v>275</v>
      </c>
      <c r="T39" s="5" t="s">
        <v>103</v>
      </c>
      <c r="U39" s="5" t="s">
        <v>104</v>
      </c>
      <c r="V39" s="5" t="s">
        <v>36</v>
      </c>
    </row>
    <row r="40" spans="1:22" ht="60" customHeight="1" x14ac:dyDescent="0.3">
      <c r="A40" s="8" t="s">
        <v>276</v>
      </c>
      <c r="B40" s="8" t="s">
        <v>277</v>
      </c>
      <c r="C40" s="9" t="s">
        <v>278</v>
      </c>
      <c r="D40" s="9" t="s">
        <v>25</v>
      </c>
      <c r="E40" s="9" t="s">
        <v>64</v>
      </c>
      <c r="F40" s="8" t="s">
        <v>27</v>
      </c>
      <c r="G40" s="9">
        <v>7</v>
      </c>
      <c r="H40" s="9">
        <v>9</v>
      </c>
      <c r="I40" s="9">
        <v>5</v>
      </c>
      <c r="J40" s="9">
        <v>9</v>
      </c>
      <c r="K40" s="9">
        <v>5</v>
      </c>
      <c r="L40" s="9">
        <v>5</v>
      </c>
      <c r="M40" s="9">
        <f t="shared" si="1"/>
        <v>69</v>
      </c>
      <c r="N40" s="8" t="s">
        <v>279</v>
      </c>
      <c r="O40" s="8" t="s">
        <v>280</v>
      </c>
      <c r="P40" s="8" t="s">
        <v>281</v>
      </c>
      <c r="Q40" s="8" t="s">
        <v>282</v>
      </c>
      <c r="R40" s="8" t="s">
        <v>283</v>
      </c>
      <c r="S40" s="8" t="s">
        <v>284</v>
      </c>
      <c r="T40" s="9" t="s">
        <v>34</v>
      </c>
      <c r="U40" s="9" t="s">
        <v>35</v>
      </c>
      <c r="V40" s="9" t="s">
        <v>36</v>
      </c>
    </row>
    <row r="41" spans="1:22" ht="60" customHeight="1" x14ac:dyDescent="0.3">
      <c r="A41" s="4" t="s">
        <v>285</v>
      </c>
      <c r="B41" s="4" t="s">
        <v>286</v>
      </c>
      <c r="C41" s="5" t="s">
        <v>278</v>
      </c>
      <c r="D41" s="5" t="s">
        <v>25</v>
      </c>
      <c r="E41" s="5" t="s">
        <v>64</v>
      </c>
      <c r="F41" s="4" t="s">
        <v>52</v>
      </c>
      <c r="G41" s="5">
        <v>7</v>
      </c>
      <c r="H41" s="5">
        <v>8</v>
      </c>
      <c r="I41" s="5">
        <v>7</v>
      </c>
      <c r="J41" s="5">
        <v>9</v>
      </c>
      <c r="K41" s="5">
        <v>5</v>
      </c>
      <c r="L41" s="5">
        <v>6</v>
      </c>
      <c r="M41" s="5">
        <f t="shared" si="1"/>
        <v>72.000000000000014</v>
      </c>
      <c r="N41" s="4" t="s">
        <v>287</v>
      </c>
      <c r="O41" s="4" t="s">
        <v>288</v>
      </c>
      <c r="P41" s="4" t="s">
        <v>289</v>
      </c>
      <c r="Q41" s="4" t="s">
        <v>284</v>
      </c>
      <c r="R41" s="4" t="s">
        <v>290</v>
      </c>
      <c r="S41" s="4" t="s">
        <v>291</v>
      </c>
      <c r="T41" s="5" t="s">
        <v>103</v>
      </c>
      <c r="U41" s="5" t="s">
        <v>104</v>
      </c>
      <c r="V41" s="5" t="s">
        <v>36</v>
      </c>
    </row>
    <row r="42" spans="1:22" ht="60" customHeight="1" x14ac:dyDescent="0.3">
      <c r="A42" s="8" t="s">
        <v>292</v>
      </c>
      <c r="B42" s="8" t="s">
        <v>293</v>
      </c>
      <c r="C42" s="9" t="s">
        <v>278</v>
      </c>
      <c r="D42" s="9" t="s">
        <v>25</v>
      </c>
      <c r="E42" s="9" t="s">
        <v>64</v>
      </c>
      <c r="F42" s="8" t="s">
        <v>65</v>
      </c>
      <c r="G42" s="9">
        <v>7</v>
      </c>
      <c r="H42" s="9">
        <v>8</v>
      </c>
      <c r="I42" s="9">
        <v>5</v>
      </c>
      <c r="J42" s="9">
        <v>9</v>
      </c>
      <c r="K42" s="9">
        <v>5</v>
      </c>
      <c r="L42" s="9">
        <v>5</v>
      </c>
      <c r="M42" s="9">
        <f t="shared" si="1"/>
        <v>67</v>
      </c>
      <c r="N42" s="8" t="s">
        <v>294</v>
      </c>
      <c r="O42" s="8" t="s">
        <v>295</v>
      </c>
      <c r="P42" s="8" t="s">
        <v>296</v>
      </c>
      <c r="Q42" s="8" t="s">
        <v>284</v>
      </c>
      <c r="R42" s="8" t="s">
        <v>297</v>
      </c>
      <c r="S42" s="8" t="s">
        <v>284</v>
      </c>
      <c r="T42" s="9" t="s">
        <v>34</v>
      </c>
      <c r="U42" s="9" t="s">
        <v>35</v>
      </c>
      <c r="V42" s="9" t="s">
        <v>36</v>
      </c>
    </row>
    <row r="43" spans="1:22" ht="60" customHeight="1" x14ac:dyDescent="0.3">
      <c r="A43" s="4" t="s">
        <v>298</v>
      </c>
      <c r="B43" s="4" t="s">
        <v>299</v>
      </c>
      <c r="C43" s="5" t="s">
        <v>278</v>
      </c>
      <c r="D43" s="5" t="s">
        <v>25</v>
      </c>
      <c r="E43" s="5" t="s">
        <v>64</v>
      </c>
      <c r="F43" s="4" t="s">
        <v>65</v>
      </c>
      <c r="G43" s="5">
        <v>7</v>
      </c>
      <c r="H43" s="5">
        <v>8</v>
      </c>
      <c r="I43" s="5">
        <v>6</v>
      </c>
      <c r="J43" s="5">
        <v>9</v>
      </c>
      <c r="K43" s="5">
        <v>5</v>
      </c>
      <c r="L43" s="5">
        <v>6</v>
      </c>
      <c r="M43" s="5">
        <f t="shared" si="1"/>
        <v>70</v>
      </c>
      <c r="N43" s="4" t="s">
        <v>300</v>
      </c>
      <c r="O43" s="4" t="s">
        <v>301</v>
      </c>
      <c r="P43" s="4" t="s">
        <v>302</v>
      </c>
      <c r="Q43" s="4" t="s">
        <v>284</v>
      </c>
      <c r="R43" s="4" t="s">
        <v>303</v>
      </c>
      <c r="S43" s="4" t="s">
        <v>304</v>
      </c>
      <c r="T43" s="5" t="s">
        <v>103</v>
      </c>
      <c r="U43" s="5" t="s">
        <v>104</v>
      </c>
      <c r="V43" s="5" t="s">
        <v>36</v>
      </c>
    </row>
    <row r="44" spans="1:22" ht="60" customHeight="1" x14ac:dyDescent="0.3">
      <c r="A44" s="8" t="s">
        <v>305</v>
      </c>
      <c r="B44" s="8" t="s">
        <v>306</v>
      </c>
      <c r="C44" s="9" t="s">
        <v>278</v>
      </c>
      <c r="D44" s="9" t="s">
        <v>25</v>
      </c>
      <c r="E44" s="9" t="s">
        <v>26</v>
      </c>
      <c r="F44" s="8" t="s">
        <v>58</v>
      </c>
      <c r="G44" s="9">
        <v>7</v>
      </c>
      <c r="H44" s="9">
        <v>8</v>
      </c>
      <c r="I44" s="9">
        <v>7</v>
      </c>
      <c r="J44" s="9">
        <v>9</v>
      </c>
      <c r="K44" s="9">
        <v>5</v>
      </c>
      <c r="L44" s="9">
        <v>7</v>
      </c>
      <c r="M44" s="9">
        <f t="shared" si="1"/>
        <v>73</v>
      </c>
      <c r="N44" s="8" t="s">
        <v>307</v>
      </c>
      <c r="O44" s="8" t="s">
        <v>308</v>
      </c>
      <c r="P44" s="8" t="s">
        <v>309</v>
      </c>
      <c r="Q44" s="8" t="s">
        <v>284</v>
      </c>
      <c r="R44" s="8" t="s">
        <v>310</v>
      </c>
      <c r="S44" s="8" t="s">
        <v>304</v>
      </c>
      <c r="T44" s="9" t="s">
        <v>34</v>
      </c>
      <c r="U44" s="9" t="s">
        <v>35</v>
      </c>
      <c r="V44" s="9" t="s">
        <v>36</v>
      </c>
    </row>
    <row r="45" spans="1:22" ht="60" customHeight="1" x14ac:dyDescent="0.3">
      <c r="A45" s="8" t="s">
        <v>311</v>
      </c>
      <c r="B45" s="8" t="s">
        <v>312</v>
      </c>
      <c r="C45" s="9" t="s">
        <v>278</v>
      </c>
      <c r="D45" s="9" t="s">
        <v>25</v>
      </c>
      <c r="E45" s="9" t="s">
        <v>64</v>
      </c>
      <c r="F45" s="8" t="s">
        <v>65</v>
      </c>
      <c r="G45" s="9">
        <v>6</v>
      </c>
      <c r="H45" s="9">
        <v>8</v>
      </c>
      <c r="I45" s="9">
        <v>5</v>
      </c>
      <c r="J45" s="9">
        <v>9</v>
      </c>
      <c r="K45" s="9">
        <v>5</v>
      </c>
      <c r="L45" s="9">
        <v>5</v>
      </c>
      <c r="M45" s="9">
        <f t="shared" si="1"/>
        <v>65.5</v>
      </c>
      <c r="N45" s="8" t="s">
        <v>313</v>
      </c>
      <c r="O45" s="8" t="s">
        <v>314</v>
      </c>
      <c r="P45" s="8" t="s">
        <v>315</v>
      </c>
      <c r="Q45" s="8" t="s">
        <v>284</v>
      </c>
      <c r="R45" s="8" t="s">
        <v>316</v>
      </c>
      <c r="S45" s="8" t="s">
        <v>284</v>
      </c>
      <c r="T45" s="9" t="s">
        <v>34</v>
      </c>
      <c r="U45" s="9" t="s">
        <v>35</v>
      </c>
      <c r="V45" s="9" t="s">
        <v>36</v>
      </c>
    </row>
    <row r="46" spans="1:22" ht="60" customHeight="1" x14ac:dyDescent="0.3">
      <c r="A46" s="4" t="s">
        <v>317</v>
      </c>
      <c r="B46" s="4" t="s">
        <v>318</v>
      </c>
      <c r="C46" s="5" t="s">
        <v>278</v>
      </c>
      <c r="D46" s="5" t="s">
        <v>25</v>
      </c>
      <c r="E46" s="5" t="s">
        <v>64</v>
      </c>
      <c r="F46" s="4" t="s">
        <v>52</v>
      </c>
      <c r="G46" s="5">
        <v>6</v>
      </c>
      <c r="H46" s="5">
        <v>8</v>
      </c>
      <c r="I46" s="5">
        <v>6</v>
      </c>
      <c r="J46" s="5">
        <v>9</v>
      </c>
      <c r="K46" s="5">
        <v>5</v>
      </c>
      <c r="L46" s="5">
        <v>6</v>
      </c>
      <c r="M46" s="5">
        <f t="shared" si="1"/>
        <v>68.5</v>
      </c>
      <c r="N46" s="4" t="s">
        <v>319</v>
      </c>
      <c r="O46" s="4" t="s">
        <v>320</v>
      </c>
      <c r="P46" s="4" t="s">
        <v>321</v>
      </c>
      <c r="Q46" s="4" t="s">
        <v>284</v>
      </c>
      <c r="R46" s="4" t="s">
        <v>322</v>
      </c>
      <c r="S46" s="4" t="s">
        <v>304</v>
      </c>
      <c r="T46" s="5" t="s">
        <v>103</v>
      </c>
      <c r="U46" s="5" t="s">
        <v>104</v>
      </c>
      <c r="V46" s="5" t="s">
        <v>36</v>
      </c>
    </row>
    <row r="47" spans="1:22" ht="60" customHeight="1" x14ac:dyDescent="0.3">
      <c r="A47" s="8" t="s">
        <v>323</v>
      </c>
      <c r="B47" s="8" t="s">
        <v>324</v>
      </c>
      <c r="C47" s="9" t="s">
        <v>278</v>
      </c>
      <c r="D47" s="9" t="s">
        <v>25</v>
      </c>
      <c r="E47" s="9" t="s">
        <v>26</v>
      </c>
      <c r="F47" s="8" t="s">
        <v>46</v>
      </c>
      <c r="G47" s="9">
        <v>6</v>
      </c>
      <c r="H47" s="9">
        <v>8</v>
      </c>
      <c r="I47" s="9">
        <v>5</v>
      </c>
      <c r="J47" s="9">
        <v>9</v>
      </c>
      <c r="K47" s="9">
        <v>5</v>
      </c>
      <c r="L47" s="9">
        <v>5</v>
      </c>
      <c r="M47" s="9">
        <f t="shared" si="1"/>
        <v>65.5</v>
      </c>
      <c r="N47" s="8" t="s">
        <v>325</v>
      </c>
      <c r="O47" s="8" t="s">
        <v>326</v>
      </c>
      <c r="P47" s="8" t="s">
        <v>327</v>
      </c>
      <c r="Q47" s="8" t="s">
        <v>284</v>
      </c>
      <c r="R47" s="8" t="s">
        <v>328</v>
      </c>
      <c r="S47" s="8" t="s">
        <v>284</v>
      </c>
      <c r="T47" s="9" t="s">
        <v>34</v>
      </c>
      <c r="U47" s="9" t="s">
        <v>35</v>
      </c>
      <c r="V47" s="9" t="s">
        <v>36</v>
      </c>
    </row>
    <row r="48" spans="1:22" ht="60" customHeight="1" x14ac:dyDescent="0.3">
      <c r="A48" s="4" t="s">
        <v>329</v>
      </c>
      <c r="B48" s="4" t="s">
        <v>330</v>
      </c>
      <c r="C48" s="5" t="s">
        <v>278</v>
      </c>
      <c r="D48" s="5" t="s">
        <v>25</v>
      </c>
      <c r="E48" s="5" t="s">
        <v>64</v>
      </c>
      <c r="F48" s="4" t="s">
        <v>39</v>
      </c>
      <c r="G48" s="5">
        <v>7</v>
      </c>
      <c r="H48" s="5">
        <v>8</v>
      </c>
      <c r="I48" s="5">
        <v>5</v>
      </c>
      <c r="J48" s="5">
        <v>9</v>
      </c>
      <c r="K48" s="5">
        <v>5</v>
      </c>
      <c r="L48" s="5">
        <v>5</v>
      </c>
      <c r="M48" s="5">
        <f t="shared" si="1"/>
        <v>67</v>
      </c>
      <c r="N48" s="4" t="s">
        <v>331</v>
      </c>
      <c r="O48" s="4" t="s">
        <v>332</v>
      </c>
      <c r="P48" s="4" t="s">
        <v>333</v>
      </c>
      <c r="Q48" s="4" t="s">
        <v>284</v>
      </c>
      <c r="R48" s="4" t="s">
        <v>303</v>
      </c>
      <c r="S48" s="4" t="s">
        <v>284</v>
      </c>
      <c r="T48" s="5" t="s">
        <v>103</v>
      </c>
      <c r="U48" s="5" t="s">
        <v>104</v>
      </c>
      <c r="V48" s="5" t="s">
        <v>36</v>
      </c>
    </row>
    <row r="49" spans="1:22" ht="60" customHeight="1" x14ac:dyDescent="0.3">
      <c r="A49" s="4" t="s">
        <v>334</v>
      </c>
      <c r="B49" s="4" t="s">
        <v>335</v>
      </c>
      <c r="C49" s="5" t="s">
        <v>278</v>
      </c>
      <c r="D49" s="5" t="s">
        <v>25</v>
      </c>
      <c r="E49" s="5" t="s">
        <v>64</v>
      </c>
      <c r="F49" s="4" t="s">
        <v>58</v>
      </c>
      <c r="G49" s="5">
        <v>7</v>
      </c>
      <c r="H49" s="5">
        <v>8</v>
      </c>
      <c r="I49" s="5">
        <v>6</v>
      </c>
      <c r="J49" s="5">
        <v>9</v>
      </c>
      <c r="K49" s="5">
        <v>5</v>
      </c>
      <c r="L49" s="5">
        <v>5</v>
      </c>
      <c r="M49" s="5">
        <f t="shared" si="1"/>
        <v>69</v>
      </c>
      <c r="N49" s="4" t="s">
        <v>336</v>
      </c>
      <c r="O49" s="4" t="s">
        <v>337</v>
      </c>
      <c r="P49" s="4" t="s">
        <v>338</v>
      </c>
      <c r="Q49" s="4" t="s">
        <v>284</v>
      </c>
      <c r="R49" s="4" t="s">
        <v>297</v>
      </c>
      <c r="S49" s="4" t="s">
        <v>339</v>
      </c>
      <c r="T49" s="5" t="s">
        <v>103</v>
      </c>
      <c r="U49" s="5" t="s">
        <v>104</v>
      </c>
      <c r="V49" s="5" t="s">
        <v>36</v>
      </c>
    </row>
    <row r="50" spans="1:22" ht="60" customHeight="1" x14ac:dyDescent="0.3">
      <c r="A50" s="4" t="s">
        <v>340</v>
      </c>
      <c r="B50" s="4" t="s">
        <v>341</v>
      </c>
      <c r="C50" s="5" t="s">
        <v>278</v>
      </c>
      <c r="D50" s="5" t="s">
        <v>25</v>
      </c>
      <c r="E50" s="5" t="s">
        <v>26</v>
      </c>
      <c r="F50" s="4" t="s">
        <v>39</v>
      </c>
      <c r="G50" s="5">
        <v>7</v>
      </c>
      <c r="H50" s="5">
        <v>8</v>
      </c>
      <c r="I50" s="5">
        <v>6</v>
      </c>
      <c r="J50" s="5">
        <v>9</v>
      </c>
      <c r="K50" s="5">
        <v>5</v>
      </c>
      <c r="L50" s="5">
        <v>5</v>
      </c>
      <c r="M50" s="5">
        <f t="shared" si="1"/>
        <v>69</v>
      </c>
      <c r="N50" s="4" t="s">
        <v>342</v>
      </c>
      <c r="O50" s="4" t="s">
        <v>343</v>
      </c>
      <c r="P50" s="4" t="s">
        <v>344</v>
      </c>
      <c r="Q50" s="4" t="s">
        <v>284</v>
      </c>
      <c r="R50" s="4" t="s">
        <v>303</v>
      </c>
      <c r="S50" s="4" t="s">
        <v>339</v>
      </c>
      <c r="T50" s="5" t="s">
        <v>103</v>
      </c>
      <c r="U50" s="5" t="s">
        <v>104</v>
      </c>
      <c r="V50" s="5" t="s">
        <v>36</v>
      </c>
    </row>
    <row r="51" spans="1:22" ht="60" customHeight="1" x14ac:dyDescent="0.3">
      <c r="A51" s="4" t="s">
        <v>345</v>
      </c>
      <c r="B51" s="4" t="s">
        <v>346</v>
      </c>
      <c r="C51" s="5" t="s">
        <v>278</v>
      </c>
      <c r="D51" s="5" t="s">
        <v>25</v>
      </c>
      <c r="E51" s="5" t="s">
        <v>64</v>
      </c>
      <c r="F51" s="4" t="s">
        <v>27</v>
      </c>
      <c r="G51" s="5">
        <v>7</v>
      </c>
      <c r="H51" s="5">
        <v>8</v>
      </c>
      <c r="I51" s="5">
        <v>5</v>
      </c>
      <c r="J51" s="5">
        <v>9</v>
      </c>
      <c r="K51" s="5">
        <v>5</v>
      </c>
      <c r="L51" s="5">
        <v>6</v>
      </c>
      <c r="M51" s="5">
        <f t="shared" si="1"/>
        <v>68</v>
      </c>
      <c r="N51" s="4" t="s">
        <v>347</v>
      </c>
      <c r="O51" s="4" t="s">
        <v>348</v>
      </c>
      <c r="P51" s="4" t="s">
        <v>349</v>
      </c>
      <c r="Q51" s="4" t="s">
        <v>284</v>
      </c>
      <c r="R51" s="4" t="s">
        <v>297</v>
      </c>
      <c r="S51" s="4" t="s">
        <v>291</v>
      </c>
      <c r="T51" s="5" t="s">
        <v>103</v>
      </c>
      <c r="U51" s="5" t="s">
        <v>104</v>
      </c>
      <c r="V51" s="5" t="s">
        <v>36</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DSA 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Pranav Naik</cp:lastModifiedBy>
  <cp:revision>0</cp:revision>
  <dcterms:created xsi:type="dcterms:W3CDTF">2026-03-28T13:04:12Z</dcterms:created>
  <dcterms:modified xsi:type="dcterms:W3CDTF">2026-03-28T14:26:42Z</dcterms:modified>
  <dc:language>en-US</dc:language>
</cp:coreProperties>
</file>